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Data_State" sheetId="4" state="visible" r:id="rId4"/>
    <sheet xmlns:r="http://schemas.openxmlformats.org/officeDocument/2006/relationships" name="Q1_Spending_Mix" sheetId="5" state="visible" r:id="rId5"/>
    <sheet xmlns:r="http://schemas.openxmlformats.org/officeDocument/2006/relationships" name="Q2_State_Variation" sheetId="6" state="visible" r:id="rId6"/>
    <sheet xmlns:r="http://schemas.openxmlformats.org/officeDocument/2006/relationships" name="Q3_Growth_Drivers" sheetId="7" state="visible" r:id="rId7"/>
    <sheet xmlns:r="http://schemas.openxmlformats.org/officeDocument/2006/relationships" name="Q4_Utilization" sheetId="8" state="visible" r:id="rId8"/>
    <sheet xmlns:r="http://schemas.openxmlformats.org/officeDocument/2006/relationships" name="Q5_Quality" sheetId="9" state="visible" r:id="rId9"/>
  </sheets>
  <definedNames>
    <definedName name="_xlnm._FilterDatabase" localSheetId="3" hidden="1">'Data_State'!$A$4:$R$576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$#,##0"/>
    <numFmt numFmtId="166" formatCode="0.0%"/>
    <numFmt numFmtId="167" formatCode="0.0"/>
    <numFmt numFmtId="168" formatCode="$#,##0.0"/>
    <numFmt numFmtId="169" formatCode="+0.0%;-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404040"/>
      <sz val="11"/>
    </font>
    <font>
      <b val="1"/>
      <color rgb="001F3864"/>
      <sz val="11"/>
    </font>
    <font>
      <color rgb="00000000"/>
      <sz val="11"/>
    </font>
    <font>
      <color rgb="002E75B6"/>
      <sz val="11"/>
      <u val="single"/>
    </font>
    <font>
      <name val="Calibri"/>
      <b val="1"/>
      <color rgb="00FFFFFF"/>
      <sz val="11"/>
    </font>
    <font>
      <b val="1"/>
    </font>
    <font>
      <color rgb="002E75B6"/>
      <sz val="10"/>
      <u val="single"/>
    </font>
    <font>
      <b val="1"/>
      <color rgb="001F3864"/>
    </font>
    <font>
      <b val="1"/>
      <color rgb="001F3864"/>
      <sz val="13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10" fillId="0" borderId="0" pivotButton="0" quotePrefix="0" xfId="0"/>
    <xf numFmtId="0" fontId="7" fillId="3" borderId="0" pivotButton="0" quotePrefix="0" xfId="0"/>
    <xf numFmtId="165" fontId="10" fillId="3" borderId="0" pivotButton="0" quotePrefix="0" xfId="0"/>
    <xf numFmtId="166" fontId="10" fillId="3" borderId="0" pivotButton="0" quotePrefix="0" xfId="0"/>
    <xf numFmtId="166" fontId="10" fillId="0" borderId="0" pivotButton="0" quotePrefix="0" xfId="0"/>
    <xf numFmtId="0" fontId="11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8" fontId="0" fillId="0" borderId="0" pivotButton="0" quotePrefix="0" xfId="0"/>
    <xf numFmtId="168" fontId="0" fillId="3" borderId="0" pivotButton="0" quotePrefix="0" xfId="0"/>
    <xf numFmtId="169" fontId="0" fillId="3" borderId="0" pivotButton="0" quotePrefix="0" xfId="0"/>
    <xf numFmtId="16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Medicare spending mix</a:t>
            </a:r>
          </a:p>
        </rich>
      </tx>
    </title>
    <plotArea>
      <doughnutChart>
        <varyColors val="1"/>
        <ser>
          <idx val="0"/>
          <order val="0"/>
          <tx>
            <strRef>
              <f>'Q1_Spending_Mix'!B4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'Q1_Spending_Mix'!$A$5:$A$21</f>
            </numRef>
          </cat>
          <val>
            <numRef>
              <f>'Q1_Spending_Mix'!$B$5:$B$21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standardized $ per beneficiary: top 10 vs bottom 10 states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'Q2_State_Variation'!B5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'Q2_State_Variation'!$A$6:$A$15</f>
            </numRef>
          </cat>
          <val>
            <numRef>
              <f>'Q2_State_Variation'!$B$6:$B$15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Standardized $ per beneficiary, 2014-2024</a:t>
            </a:r>
          </a:p>
        </rich>
      </tx>
    </title>
    <plotArea>
      <lineChart>
        <grouping val="standard"/>
        <ser>
          <idx val="0"/>
          <order val="0"/>
          <tx>
            <strRef>
              <f>'Q3_Growth_Drivers'!B4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'Q3_Growth_Drivers'!$A$5:$A$15</f>
            </numRef>
          </cat>
          <val>
            <numRef>
              <f>'Q3_Growth_Drivers'!$B$5:$B$15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8000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2024: spending per beneficiary vs inpatient stays (51 states)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xVal>
            <numRef>
              <f>'Q4_Utilization'!$C$5:$C$55</f>
            </numRef>
          </xVal>
          <yVal>
            <numRef>
              <f>'Q4_Utilization'!$B$5:$B$55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Inpatient stays per 1,000 beneficiaries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Standardized $ per beneficiary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30-day readmission rate: 10 highest vs 10 lowest states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'Q5_Quality'!B5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'Q5_Quality'!$A$6:$A$15</f>
            </numRef>
          </cat>
          <val>
            <numRef>
              <f>'Q5_Quality'!$B$6:$B$15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Q1_Spending_Mix'!A1" TargetMode="External" Id="rId1"/><Relationship Type="http://schemas.openxmlformats.org/officeDocument/2006/relationships/hyperlink" Target="#'Q2_State_Variation'!A1" TargetMode="External" Id="rId2"/><Relationship Type="http://schemas.openxmlformats.org/officeDocument/2006/relationships/hyperlink" Target="#'Q3_Growth_Drivers'!A1" TargetMode="External" Id="rId3"/><Relationship Type="http://schemas.openxmlformats.org/officeDocument/2006/relationships/hyperlink" Target="#'Q4_Utilization'!A1" TargetMode="External" Id="rId4"/><Relationship Type="http://schemas.openxmlformats.org/officeDocument/2006/relationships/hyperlink" Target="#'Q5_Quality'!A1" TargetMode="External" Id="rId5"/><Relationship Type="http://schemas.openxmlformats.org/officeDocument/2006/relationships/hyperlink" Target="#'CMS Medicare Fee-for-Service Geographic Variation Public Use File (data.cms.gov), 2014-2024. State level, all ages.'!A1" TargetMode="External" Id="rId6"/><Relationship Type="http://schemas.openxmlformats.org/officeDocument/2006/relationships/hyperlink" Target="#'Standardized payments are used throughout: CMS removes geographic price differences (wages, teaching add-ons), so state comparisons reflect utilization and practice patterns, not price levels.'!A1" TargetMode="External" Id="rId7"/><Relationship Type="http://schemas.openxmlformats.org/officeDocument/2006/relationships/hyperlink" Target="#'Each question has its own sheet with an analysis table and chart. Data_State holds the full analysis-ready dataset (51 geographies x 11 years) with filters. Dashboard collects the headline KPIs.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Q1_Spending_Mix'!A1" TargetMode="External" Id="rId2"/><Relationship Type="http://schemas.openxmlformats.org/officeDocument/2006/relationships/hyperlink" Target="#'Q2_State_Variation'!A1" TargetMode="External" Id="rId3"/><Relationship Type="http://schemas.openxmlformats.org/officeDocument/2006/relationships/hyperlink" Target="#'Q3_Growth_Drivers'!A1" TargetMode="External" Id="rId4"/><Relationship Type="http://schemas.openxmlformats.org/officeDocument/2006/relationships/hyperlink" Target="#'Q4_Utilization'!A1" TargetMode="External" Id="rId5"/><Relationship Type="http://schemas.openxmlformats.org/officeDocument/2006/relationships/hyperlink" Target="#'Q5_Quality'!A1" TargetMode="External" Id="rId6"/><Relationship Type="http://schemas.openxmlformats.org/officeDocument/2006/relationships/hyperlink" Target="#'Data_State'!A1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drawing" Target="/xl/drawings/drawing1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drawing" Target="/xl/drawings/drawing2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drawing" Target="/xl/drawings/drawing3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drawing" Target="/xl/drawings/drawing4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drawing" Target="/xl/drawings/drawing5.xml" Id="rId2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Medicare Financial Analysis</t>
        </is>
      </c>
    </row>
    <row r="2">
      <c r="A2" s="2" t="inlineStr">
        <is>
          <t>Original Medicare fee-for-service spending, 2014-2024  |  By Emy Kirugo</t>
        </is>
      </c>
    </row>
    <row r="4">
      <c r="A4" s="3" t="inlineStr">
        <is>
          <t>What this workbook answers</t>
        </is>
      </c>
    </row>
    <row r="5">
      <c r="A5" s="4" t="inlineStr">
        <is>
          <t>1. Where does the Medicare dollar go?</t>
        </is>
      </c>
    </row>
    <row r="6">
      <c r="A6" s="4" t="inlineStr">
        <is>
          <t>2. Which states spend the most per beneficiary?</t>
        </is>
      </c>
    </row>
    <row r="7">
      <c r="A7" s="4" t="inlineStr">
        <is>
          <t>3. What is driving spending growth?</t>
        </is>
      </c>
    </row>
    <row r="8">
      <c r="A8" s="4" t="inlineStr">
        <is>
          <t>4. Is it prices or utilization?</t>
        </is>
      </c>
    </row>
    <row r="9">
      <c r="A9" s="4" t="inlineStr">
        <is>
          <t>5. Does more spending buy better quality?</t>
        </is>
      </c>
    </row>
    <row r="10">
      <c r="A10" s="5" t="inlineStr"/>
    </row>
    <row r="11">
      <c r="A11" s="4" t="inlineStr">
        <is>
          <t>Data</t>
        </is>
      </c>
    </row>
    <row r="12">
      <c r="A12" s="4" t="inlineStr">
        <is>
          <t>Method</t>
        </is>
      </c>
    </row>
    <row r="13">
      <c r="A13" s="4" t="inlineStr">
        <is>
          <t>How to use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1" t="inlineStr">
        <is>
          <t>Dashboard: Medicare Financial Health at a Glance</t>
        </is>
      </c>
    </row>
    <row r="2">
      <c r="A2" s="2" t="inlineStr">
        <is>
          <t>Headline KPIs (live formulas on Data_State) and a Texas spotlight.</t>
        </is>
      </c>
    </row>
    <row r="3">
      <c r="A3" s="6" t="inlineStr">
        <is>
          <t>Back to Cover</t>
        </is>
      </c>
    </row>
    <row r="4">
      <c r="A4" s="7" t="inlineStr">
        <is>
          <t>KPI</t>
        </is>
      </c>
      <c r="B4" s="7" t="inlineStr">
        <is>
          <t>Value</t>
        </is>
      </c>
    </row>
    <row r="5">
      <c r="A5" s="8" t="inlineStr">
        <is>
          <t>US std $ per beneficiary, 2024</t>
        </is>
      </c>
      <c r="B5" s="9">
        <f>SUMIFS(Data_State!E$5:$576,Data_State!A$5:$576,"National",Data_State!B$5:$576,2024)</f>
        <v/>
      </c>
    </row>
    <row r="6">
      <c r="A6" s="10" t="inlineStr">
        <is>
          <t>Highest state, 2024</t>
        </is>
      </c>
      <c r="B6" s="11">
        <f>MAXIFS(Data_State!E$5:$576,Data_State!A$5:$576,"&lt;&gt;National",Data_State!B$5:$576,2024)</f>
        <v/>
      </c>
    </row>
    <row r="7">
      <c r="A7" s="8" t="inlineStr">
        <is>
          <t>Lowest state, 2024</t>
        </is>
      </c>
      <c r="B7" s="9">
        <f>MINIFS(Data_State!E$5:$576,Data_State!A$5:$576,"&lt;&gt;National",Data_State!B$5:$576,2024)</f>
        <v/>
      </c>
    </row>
    <row r="8">
      <c r="A8" s="10" t="inlineStr">
        <is>
          <t>10-yr per-beneficiary growth</t>
        </is>
      </c>
      <c r="B8" s="12">
        <f>(SUMIFS(Data_State!E$5:$576,Data_State!A$5:$576,"National",Data_State!B$5:$576,2024)-SUMIFS(Data_State!E$5:$576,Data_State!A$5:$576,"National",Data_State!B$5:$576,2014))/SUMIFS(Data_State!E$5:$576,Data_State!A$5:$576,"National",Data_State!B$5:$576,2014)</f>
        <v/>
      </c>
    </row>
    <row r="9">
      <c r="A9" s="8" t="inlineStr">
        <is>
          <t>Inpatient share of spending, 2024</t>
        </is>
      </c>
      <c r="B9" s="13">
        <f>SUMIFS(Data_State!F$5:$576,Data_State!A$5:$576,"National",Data_State!B$5:$576,2024)</f>
        <v/>
      </c>
    </row>
    <row r="10">
      <c r="A10" s="10" t="inlineStr">
        <is>
          <t>Outpatient share of spending, 2024</t>
        </is>
      </c>
      <c r="B10" s="12">
        <f>SUMIFS(Data_State!G$5:$576,Data_State!A$5:$576,"National",Data_State!B$5:$576,2024)</f>
        <v/>
      </c>
    </row>
    <row r="13">
      <c r="A13" s="14" t="inlineStr">
        <is>
          <t>Texas spotlight (std $ per beneficiary)</t>
        </is>
      </c>
    </row>
    <row r="14">
      <c r="A14" s="7" t="inlineStr">
        <is>
          <t>Year</t>
        </is>
      </c>
      <c r="B14" s="7" t="inlineStr">
        <is>
          <t>Texas</t>
        </is>
      </c>
      <c r="C14" s="7" t="inlineStr">
        <is>
          <t>US (National)</t>
        </is>
      </c>
    </row>
    <row r="15">
      <c r="A15" t="inlineStr">
        <is>
          <t>2014</t>
        </is>
      </c>
      <c r="B15" s="15" t="n">
        <v>10820</v>
      </c>
      <c r="C15" s="15">
        <f>SUMIFS(Data_State!E$5:$576,Data_State!A$5:$576,"National",Data_State!B$5:$576,2014)</f>
        <v/>
      </c>
    </row>
    <row r="16">
      <c r="A16" t="inlineStr">
        <is>
          <t>2024</t>
        </is>
      </c>
      <c r="B16" s="15" t="n">
        <v>14056</v>
      </c>
      <c r="C16" s="15">
        <f>SUMIFS(Data_State!E$5:$576,Data_State!A$5:$576,"National",Data_State!B$5:$576,2024)</f>
        <v/>
      </c>
    </row>
    <row r="17">
      <c r="A17" s="2" t="inlineStr">
        <is>
          <t>Texas ranks 5th-highest of 51 in 2024 at $14,056, up 29.9% from $10,820 in 2014. Its 30-day readmission rate held near 17.8% across the decade.</t>
        </is>
      </c>
    </row>
    <row r="19">
      <c r="A19" s="16" t="inlineStr">
        <is>
          <t>Jump to:</t>
        </is>
      </c>
    </row>
    <row r="20">
      <c r="A20" s="4" t="inlineStr">
        <is>
          <t>Q1 Spending mix</t>
        </is>
      </c>
    </row>
    <row r="21">
      <c r="A21" s="4" t="inlineStr">
        <is>
          <t>Q2 State variation</t>
        </is>
      </c>
    </row>
    <row r="22">
      <c r="A22" s="4" t="inlineStr">
        <is>
          <t>Q3 Growth drivers</t>
        </is>
      </c>
    </row>
    <row r="23">
      <c r="A23" s="4" t="inlineStr">
        <is>
          <t>Q4 Utilization</t>
        </is>
      </c>
    </row>
    <row r="24">
      <c r="A24" s="4" t="inlineStr">
        <is>
          <t>Q5 Quality</t>
        </is>
      </c>
    </row>
    <row r="25">
      <c r="A25" s="4" t="inlineStr">
        <is>
          <t>Full dataset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20" r:id="rId2"/>
    <hyperlink xmlns:r="http://schemas.openxmlformats.org/officeDocument/2006/relationships" ref="A21" r:id="rId3"/>
    <hyperlink xmlns:r="http://schemas.openxmlformats.org/officeDocument/2006/relationships" ref="A22" r:id="rId4"/>
    <hyperlink xmlns:r="http://schemas.openxmlformats.org/officeDocument/2006/relationships" ref="A23" r:id="rId5"/>
    <hyperlink xmlns:r="http://schemas.openxmlformats.org/officeDocument/2006/relationships" ref="A24" r:id="rId6"/>
    <hyperlink xmlns:r="http://schemas.openxmlformats.org/officeDocument/2006/relationships" ref="A25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Data Dictionary</t>
        </is>
      </c>
    </row>
    <row r="2">
      <c r="A2" s="2" t="inlineStr">
        <is>
          <t>Definitions for fields used in this workbook (from the CMS data dictionary).</t>
        </is>
      </c>
    </row>
    <row r="3">
      <c r="A3" s="6" t="inlineStr">
        <is>
          <t>Back to Cover</t>
        </is>
      </c>
    </row>
    <row r="4">
      <c r="A4" s="7" t="inlineStr">
        <is>
          <t>Field</t>
        </is>
      </c>
      <c r="B4" s="7" t="inlineStr">
        <is>
          <t>Definition</t>
        </is>
      </c>
    </row>
    <row r="5">
      <c r="A5" s="17" t="inlineStr">
        <is>
          <t>State</t>
        </is>
      </c>
      <c r="B5" s="18" t="inlineStr">
        <is>
          <t>Two-letter state code (50 states + DC). Territories excluded.</t>
        </is>
      </c>
    </row>
    <row r="6">
      <c r="A6" s="19" t="inlineStr">
        <is>
          <t>Year</t>
        </is>
      </c>
      <c r="B6" s="20" t="inlineStr">
        <is>
          <t>Calendar year of the Medicare claims, 2014-2024.</t>
        </is>
      </c>
    </row>
    <row r="7">
      <c r="A7" s="17" t="inlineStr">
        <is>
          <t>Beneficiaries</t>
        </is>
      </c>
      <c r="B7" s="18" t="inlineStr">
        <is>
          <t>Number of Original Medicare beneficiaries in the state-year.</t>
        </is>
      </c>
    </row>
    <row r="8">
      <c r="A8" s="19" t="inlineStr">
        <is>
          <t>Total std payment ($B)</t>
        </is>
      </c>
      <c r="B8" s="20" t="inlineStr">
        <is>
          <t>Total standardized Medicare payments, in billions. Standardized = CMS price-adjustment removes wage index and policy add-ons.</t>
        </is>
      </c>
    </row>
    <row r="9">
      <c r="A9" s="17" t="inlineStr">
        <is>
          <t>Std $ per beneficiary</t>
        </is>
      </c>
      <c r="B9" s="18" t="inlineStr">
        <is>
          <t>Total standardized payments divided by beneficiaries. The core efficiency metric.</t>
        </is>
      </c>
    </row>
    <row r="10">
      <c r="A10" s="19" t="inlineStr">
        <is>
          <t>IP % / OP % / ...</t>
        </is>
      </c>
      <c r="B10" s="20" t="inlineStr">
        <is>
          <t>Share of standardized payments by service setting: IP = inpatient hospital, OP = outpatient hospital, E&amp;M = physician evaluation &amp; management, SNF = skilled nursing facility, DME = durable medical equipment, HH = home health.</t>
        </is>
      </c>
    </row>
    <row r="11">
      <c r="A11" s="17" t="inlineStr">
        <is>
          <t>IP stays per 1,000</t>
        </is>
      </c>
      <c r="B11" s="18" t="inlineStr">
        <is>
          <t>Covered inpatient stays per 1,000 beneficiaries. Utilization measure.</t>
        </is>
      </c>
    </row>
    <row r="12">
      <c r="A12" s="19" t="inlineStr">
        <is>
          <t>ER visits per 1,000</t>
        </is>
      </c>
      <c r="B12" s="20" t="inlineStr">
        <is>
          <t>Emergency department visits per 1,000 beneficiaries.</t>
        </is>
      </c>
    </row>
    <row r="13">
      <c r="A13" s="17" t="inlineStr">
        <is>
          <t>Readmission %</t>
        </is>
      </c>
      <c r="B13" s="18" t="inlineStr">
        <is>
          <t>Acute hospital 30-day readmission rate. Quality measure: lower is better.</t>
        </is>
      </c>
    </row>
    <row r="14">
      <c r="A14" s="19" t="inlineStr">
        <is>
          <t>Dual %</t>
        </is>
      </c>
      <c r="B14" s="20" t="inlineStr">
        <is>
          <t>Share of beneficiaries dually eligible for Medicare and Medicaid.</t>
        </is>
      </c>
    </row>
    <row r="15">
      <c r="A15" s="17" t="inlineStr">
        <is>
          <t>Avg age</t>
        </is>
      </c>
      <c r="B15" s="18" t="inlineStr">
        <is>
          <t>Average beneficiary age.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R5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12" customWidth="1" min="14" max="14"/>
    <col width="12" customWidth="1" min="15" max="15"/>
    <col width="10" customWidth="1" min="16" max="16"/>
    <col width="8" customWidth="1" min="17" max="17"/>
    <col width="9" customWidth="1" min="18" max="18"/>
  </cols>
  <sheetData>
    <row r="1">
      <c r="A1" s="1" t="inlineStr">
        <is>
          <t>State-Level Dataset</t>
        </is>
      </c>
    </row>
    <row r="2">
      <c r="A2" s="2" t="inlineStr">
        <is>
          <t>Analysis-ready table: 51 geographies x 11 years, plus National benchmark rows. Use filters to explore.</t>
        </is>
      </c>
    </row>
    <row r="3">
      <c r="A3" s="6" t="inlineStr">
        <is>
          <t>Back to Cover</t>
        </is>
      </c>
    </row>
    <row r="4">
      <c r="A4" s="7" t="inlineStr">
        <is>
          <t>State</t>
        </is>
      </c>
      <c r="B4" s="7" t="inlineStr">
        <is>
          <t>Year</t>
        </is>
      </c>
      <c r="C4" s="7" t="inlineStr">
        <is>
          <t>Beneficiaries</t>
        </is>
      </c>
      <c r="D4" s="7" t="inlineStr">
        <is>
          <t>Total std payment ($B)</t>
        </is>
      </c>
      <c r="E4" s="7" t="inlineStr">
        <is>
          <t>Std $ per beneficiary</t>
        </is>
      </c>
      <c r="F4" s="7" t="inlineStr">
        <is>
          <t>IP %</t>
        </is>
      </c>
      <c r="G4" s="7" t="inlineStr">
        <is>
          <t>OP %</t>
        </is>
      </c>
      <c r="H4" s="7" t="inlineStr">
        <is>
          <t>E&amp;M %</t>
        </is>
      </c>
      <c r="I4" s="7" t="inlineStr">
        <is>
          <t>SNF %</t>
        </is>
      </c>
      <c r="J4" s="7" t="inlineStr">
        <is>
          <t>DME %</t>
        </is>
      </c>
      <c r="K4" s="7" t="inlineStr">
        <is>
          <t>HH %</t>
        </is>
      </c>
      <c r="L4" s="7" t="inlineStr">
        <is>
          <t>Procedures %</t>
        </is>
      </c>
      <c r="M4" s="7" t="inlineStr">
        <is>
          <t>Hospice %</t>
        </is>
      </c>
      <c r="N4" s="7" t="inlineStr">
        <is>
          <t>IP stays per 1,000</t>
        </is>
      </c>
      <c r="O4" s="7" t="inlineStr">
        <is>
          <t>ER visits per 1,000</t>
        </is>
      </c>
      <c r="P4" s="7" t="inlineStr">
        <is>
          <t>Readmission %</t>
        </is>
      </c>
      <c r="Q4" s="7" t="inlineStr">
        <is>
          <t>Dual %</t>
        </is>
      </c>
      <c r="R4" s="7" t="inlineStr">
        <is>
          <t>Avg age</t>
        </is>
      </c>
    </row>
    <row r="5">
      <c r="A5" t="inlineStr">
        <is>
          <t>AK</t>
        </is>
      </c>
      <c r="B5" t="n">
        <v>2014</v>
      </c>
      <c r="C5" s="21" t="n">
        <v>84573</v>
      </c>
      <c r="D5" s="22" t="n">
        <v>0.465667228</v>
      </c>
      <c r="E5" s="15" t="n">
        <v>6523.5</v>
      </c>
      <c r="F5" s="23" t="n">
        <v>0.324</v>
      </c>
      <c r="G5" s="23" t="n">
        <v>0.2181</v>
      </c>
      <c r="H5" s="23" t="n">
        <v>0.08550000000000001</v>
      </c>
      <c r="I5" s="23" t="n">
        <v>0.0453</v>
      </c>
      <c r="J5" s="23" t="n">
        <v>0.0195</v>
      </c>
      <c r="K5" s="23" t="n">
        <v>0.0205</v>
      </c>
      <c r="L5" s="23" t="n">
        <v>0.053</v>
      </c>
      <c r="M5" s="23" t="n">
        <v>0.0155</v>
      </c>
      <c r="N5" s="21" t="n">
        <v>194.8083</v>
      </c>
      <c r="O5" s="21" t="n">
        <v>555.3143</v>
      </c>
      <c r="P5" s="23" t="n">
        <v>0.1371</v>
      </c>
      <c r="Q5" s="23" t="n">
        <v>0.2381</v>
      </c>
      <c r="R5" s="24" t="n">
        <v>70</v>
      </c>
    </row>
    <row r="6">
      <c r="A6" s="25" t="inlineStr">
        <is>
          <t>AK</t>
        </is>
      </c>
      <c r="B6" s="25" t="n">
        <v>2015</v>
      </c>
      <c r="C6" s="26" t="n">
        <v>88678</v>
      </c>
      <c r="D6" s="27" t="n">
        <v>0.50429191</v>
      </c>
      <c r="E6" s="28" t="n">
        <v>6758.31</v>
      </c>
      <c r="F6" s="29" t="n">
        <v>0.3201</v>
      </c>
      <c r="G6" s="29" t="n">
        <v>0.2134</v>
      </c>
      <c r="H6" s="29" t="n">
        <v>0.0856</v>
      </c>
      <c r="I6" s="29" t="n">
        <v>0.0423</v>
      </c>
      <c r="J6" s="29" t="n">
        <v>0.0199</v>
      </c>
      <c r="K6" s="29" t="n">
        <v>0.0192</v>
      </c>
      <c r="L6" s="29" t="n">
        <v>0.0546</v>
      </c>
      <c r="M6" s="29" t="n">
        <v>0.0158</v>
      </c>
      <c r="N6" s="26" t="n">
        <v>192.5675</v>
      </c>
      <c r="O6" s="26" t="n">
        <v>575.3572</v>
      </c>
      <c r="P6" s="29" t="n">
        <v>0.1433</v>
      </c>
      <c r="Q6" s="29" t="n">
        <v>0.2335</v>
      </c>
      <c r="R6" s="30" t="n">
        <v>70</v>
      </c>
    </row>
    <row r="7">
      <c r="A7" t="inlineStr">
        <is>
          <t>AK</t>
        </is>
      </c>
      <c r="B7" t="n">
        <v>2016</v>
      </c>
      <c r="C7" s="21" t="n">
        <v>92923</v>
      </c>
      <c r="D7" s="22" t="n">
        <v>0.535867102</v>
      </c>
      <c r="E7" s="15" t="n">
        <v>6846.57</v>
      </c>
      <c r="F7" s="23" t="n">
        <v>0.317</v>
      </c>
      <c r="G7" s="23" t="n">
        <v>0.2229</v>
      </c>
      <c r="H7" s="23" t="n">
        <v>0.082</v>
      </c>
      <c r="I7" s="23" t="n">
        <v>0.0485</v>
      </c>
      <c r="J7" s="23" t="n">
        <v>0.0157</v>
      </c>
      <c r="K7" s="23" t="n">
        <v>0.0197</v>
      </c>
      <c r="L7" s="23" t="n">
        <v>0.0513</v>
      </c>
      <c r="M7" s="23" t="n">
        <v>0.0152</v>
      </c>
      <c r="N7" s="21" t="n">
        <v>195.6611</v>
      </c>
      <c r="O7" s="21" t="n">
        <v>580.7354</v>
      </c>
      <c r="P7" s="23" t="n">
        <v>0.1406</v>
      </c>
      <c r="Q7" s="23" t="n">
        <v>0.2297</v>
      </c>
      <c r="R7" s="24" t="n">
        <v>70</v>
      </c>
    </row>
    <row r="8">
      <c r="A8" s="25" t="inlineStr">
        <is>
          <t>AK</t>
        </is>
      </c>
      <c r="B8" s="25" t="n">
        <v>2017</v>
      </c>
      <c r="C8" s="26" t="n">
        <v>96894</v>
      </c>
      <c r="D8" s="27" t="n">
        <v>0.570917207</v>
      </c>
      <c r="E8" s="28" t="n">
        <v>7056.99</v>
      </c>
      <c r="F8" s="29" t="n">
        <v>0.3166</v>
      </c>
      <c r="G8" s="29" t="n">
        <v>0.2288</v>
      </c>
      <c r="H8" s="29" t="n">
        <v>0.0832</v>
      </c>
      <c r="I8" s="29" t="n">
        <v>0.0439</v>
      </c>
      <c r="J8" s="29" t="n">
        <v>0.0146</v>
      </c>
      <c r="K8" s="29" t="n">
        <v>0.0195</v>
      </c>
      <c r="L8" s="29" t="n">
        <v>0.0506</v>
      </c>
      <c r="M8" s="29" t="n">
        <v>0.0138</v>
      </c>
      <c r="N8" s="26" t="n">
        <v>195.3375</v>
      </c>
      <c r="O8" s="26" t="n">
        <v>580.1535</v>
      </c>
      <c r="P8" s="29" t="n">
        <v>0.1465</v>
      </c>
      <c r="Q8" s="29" t="n">
        <v>0.2313</v>
      </c>
      <c r="R8" s="30" t="n">
        <v>70</v>
      </c>
    </row>
    <row r="9">
      <c r="A9" t="inlineStr">
        <is>
          <t>AK</t>
        </is>
      </c>
      <c r="B9" t="n">
        <v>2018</v>
      </c>
      <c r="C9" s="21" t="n">
        <v>101382</v>
      </c>
      <c r="D9" s="22" t="n">
        <v>0.634484516</v>
      </c>
      <c r="E9" s="15" t="n">
        <v>7489.72</v>
      </c>
      <c r="F9" s="23" t="n">
        <v>0.3022</v>
      </c>
      <c r="G9" s="23" t="n">
        <v>0.2366</v>
      </c>
      <c r="H9" s="23" t="n">
        <v>0.08</v>
      </c>
      <c r="I9" s="23" t="n">
        <v>0.047</v>
      </c>
      <c r="J9" s="23" t="n">
        <v>0.0158</v>
      </c>
      <c r="K9" s="23" t="n">
        <v>0.0203</v>
      </c>
      <c r="L9" s="23" t="n">
        <v>0.0487</v>
      </c>
      <c r="M9" s="23" t="n">
        <v>0.0145</v>
      </c>
      <c r="N9" s="21" t="n">
        <v>193.1322</v>
      </c>
      <c r="O9" s="21" t="n">
        <v>567.722</v>
      </c>
      <c r="P9" s="23" t="n">
        <v>0.1476</v>
      </c>
      <c r="Q9" s="23" t="n">
        <v>0.2287</v>
      </c>
      <c r="R9" s="24" t="n">
        <v>71</v>
      </c>
    </row>
    <row r="10">
      <c r="A10" s="25" t="inlineStr">
        <is>
          <t>AK</t>
        </is>
      </c>
      <c r="B10" s="25" t="n">
        <v>2019</v>
      </c>
      <c r="C10" s="26" t="n">
        <v>105693</v>
      </c>
      <c r="D10" s="27" t="n">
        <v>0.675208314</v>
      </c>
      <c r="E10" s="28" t="n">
        <v>7643.03</v>
      </c>
      <c r="F10" s="29" t="n">
        <v>0.2959</v>
      </c>
      <c r="G10" s="29" t="n">
        <v>0.2495</v>
      </c>
      <c r="H10" s="29" t="n">
        <v>0.0795</v>
      </c>
      <c r="I10" s="29" t="n">
        <v>0.0412</v>
      </c>
      <c r="J10" s="29" t="n">
        <v>0.0174</v>
      </c>
      <c r="K10" s="29" t="n">
        <v>0.0197</v>
      </c>
      <c r="L10" s="29" t="n">
        <v>0.0493</v>
      </c>
      <c r="M10" s="29" t="n">
        <v>0.0143</v>
      </c>
      <c r="N10" s="26" t="n">
        <v>185.108</v>
      </c>
      <c r="O10" s="26" t="n">
        <v>559.6029</v>
      </c>
      <c r="P10" s="29" t="n">
        <v>0.1508</v>
      </c>
      <c r="Q10" s="29" t="n">
        <v>0.2263</v>
      </c>
      <c r="R10" s="30" t="n">
        <v>71</v>
      </c>
    </row>
    <row r="11">
      <c r="A11" t="inlineStr">
        <is>
          <t>AK</t>
        </is>
      </c>
      <c r="B11" t="n">
        <v>2020</v>
      </c>
      <c r="C11" s="21" t="n">
        <v>109882</v>
      </c>
      <c r="D11" s="22" t="n">
        <v>0.655499562</v>
      </c>
      <c r="E11" s="15" t="n">
        <v>7109.39</v>
      </c>
      <c r="F11" s="23" t="n">
        <v>0.2899</v>
      </c>
      <c r="G11" s="23" t="n">
        <v>0.2424</v>
      </c>
      <c r="H11" s="23" t="n">
        <v>0.0756</v>
      </c>
      <c r="I11" s="23" t="n">
        <v>0.0501</v>
      </c>
      <c r="J11" s="23" t="n">
        <v>0.0202</v>
      </c>
      <c r="K11" s="23" t="n">
        <v>0.0246</v>
      </c>
      <c r="L11" s="23" t="n">
        <v>0.0454</v>
      </c>
      <c r="M11" s="23" t="n">
        <v>0.0171</v>
      </c>
      <c r="N11" s="21" t="n">
        <v>159.2482</v>
      </c>
      <c r="O11" s="21" t="n">
        <v>449.3178</v>
      </c>
      <c r="P11" s="23" t="n">
        <v>0.1429</v>
      </c>
      <c r="Q11" s="23" t="n">
        <v>0.2207</v>
      </c>
      <c r="R11" s="24" t="n">
        <v>71</v>
      </c>
    </row>
    <row r="12">
      <c r="A12" s="25" t="inlineStr">
        <is>
          <t>AK</t>
        </is>
      </c>
      <c r="B12" s="25" t="n">
        <v>2021</v>
      </c>
      <c r="C12" s="26" t="n">
        <v>113653</v>
      </c>
      <c r="D12" s="27" t="n">
        <v>0.771944875</v>
      </c>
      <c r="E12" s="28" t="n">
        <v>8112.5</v>
      </c>
      <c r="F12" s="29" t="n">
        <v>0.2699</v>
      </c>
      <c r="G12" s="29" t="n">
        <v>0.2663</v>
      </c>
      <c r="H12" s="29" t="n">
        <v>0.0808</v>
      </c>
      <c r="I12" s="29" t="n">
        <v>0.0461</v>
      </c>
      <c r="J12" s="29" t="n">
        <v>0.0189</v>
      </c>
      <c r="K12" s="29" t="n">
        <v>0.0221</v>
      </c>
      <c r="L12" s="29" t="n">
        <v>0.0436</v>
      </c>
      <c r="M12" s="29" t="n">
        <v>0.0164</v>
      </c>
      <c r="N12" s="26" t="n">
        <v>161.0635</v>
      </c>
      <c r="O12" s="26" t="n">
        <v>480.1639</v>
      </c>
      <c r="P12" s="29" t="n">
        <v>0.1534</v>
      </c>
      <c r="Q12" s="29" t="n">
        <v>0.2193</v>
      </c>
      <c r="R12" s="30" t="n">
        <v>71</v>
      </c>
    </row>
    <row r="13">
      <c r="A13" t="inlineStr">
        <is>
          <t>AK</t>
        </is>
      </c>
      <c r="B13" t="n">
        <v>2022</v>
      </c>
      <c r="C13" s="21" t="n">
        <v>117023</v>
      </c>
      <c r="D13" s="22" t="n">
        <v>0.818396337</v>
      </c>
      <c r="E13" s="15" t="n">
        <v>8390.879999999999</v>
      </c>
      <c r="F13" s="23" t="n">
        <v>0.268</v>
      </c>
      <c r="G13" s="23" t="n">
        <v>0.2667</v>
      </c>
      <c r="H13" s="23" t="n">
        <v>0.0818</v>
      </c>
      <c r="I13" s="23" t="n">
        <v>0.0462</v>
      </c>
      <c r="J13" s="23" t="n">
        <v>0.0193</v>
      </c>
      <c r="K13" s="23" t="n">
        <v>0.0209</v>
      </c>
      <c r="L13" s="23" t="n">
        <v>0.0422</v>
      </c>
      <c r="M13" s="23" t="n">
        <v>0.0175</v>
      </c>
      <c r="N13" s="21" t="n">
        <v>164.6093</v>
      </c>
      <c r="O13" s="21" t="n">
        <v>511.3499</v>
      </c>
      <c r="P13" s="23" t="n">
        <v>0.1526</v>
      </c>
      <c r="Q13" s="23" t="n">
        <v>0.2212</v>
      </c>
      <c r="R13" s="24" t="n">
        <v>71</v>
      </c>
    </row>
    <row r="14">
      <c r="A14" s="25" t="inlineStr">
        <is>
          <t>AK</t>
        </is>
      </c>
      <c r="B14" s="25" t="n">
        <v>2023</v>
      </c>
      <c r="C14" s="26" t="n">
        <v>120280</v>
      </c>
      <c r="D14" s="27" t="n">
        <v>0.904800479</v>
      </c>
      <c r="E14" s="28" t="n">
        <v>9081.879999999999</v>
      </c>
      <c r="F14" s="29" t="n">
        <v>0.2582</v>
      </c>
      <c r="G14" s="29" t="n">
        <v>0.265</v>
      </c>
      <c r="H14" s="29" t="n">
        <v>0.07920000000000001</v>
      </c>
      <c r="I14" s="29" t="n">
        <v>0.0396</v>
      </c>
      <c r="J14" s="29" t="n">
        <v>0.0426</v>
      </c>
      <c r="K14" s="29" t="n">
        <v>0.0192</v>
      </c>
      <c r="L14" s="29" t="n">
        <v>0.0407</v>
      </c>
      <c r="M14" s="29" t="n">
        <v>0.017</v>
      </c>
      <c r="N14" s="26" t="n">
        <v>168.097</v>
      </c>
      <c r="O14" s="26" t="n">
        <v>539.6027</v>
      </c>
      <c r="P14" s="29" t="n">
        <v>0.162</v>
      </c>
      <c r="Q14" s="29" t="n">
        <v>0.2191</v>
      </c>
      <c r="R14" s="30" t="n">
        <v>72</v>
      </c>
    </row>
    <row r="15">
      <c r="A15" t="inlineStr">
        <is>
          <t>AK</t>
        </is>
      </c>
      <c r="B15" t="n">
        <v>2024</v>
      </c>
      <c r="C15" s="21" t="n">
        <v>123807</v>
      </c>
      <c r="D15" s="22" t="n">
        <v>0.942026242</v>
      </c>
      <c r="E15" s="15" t="n">
        <v>9209.459999999999</v>
      </c>
      <c r="F15" s="23" t="n">
        <v>0.2575</v>
      </c>
      <c r="G15" s="23" t="n">
        <v>0.2559</v>
      </c>
      <c r="H15" s="23" t="n">
        <v>0.0795</v>
      </c>
      <c r="I15" s="23" t="n">
        <v>0.046</v>
      </c>
      <c r="J15" s="23" t="n">
        <v>0.0282</v>
      </c>
      <c r="K15" s="23" t="n">
        <v>0.0204</v>
      </c>
      <c r="L15" s="23" t="n">
        <v>0.0402</v>
      </c>
      <c r="M15" s="23" t="n">
        <v>0.0182</v>
      </c>
      <c r="N15" s="21" t="n">
        <v>169.2264</v>
      </c>
      <c r="O15" s="21" t="n">
        <v>550.5382</v>
      </c>
      <c r="P15" s="23" t="n">
        <v>0.1543</v>
      </c>
      <c r="Q15" s="23" t="n">
        <v>0.214</v>
      </c>
      <c r="R15" s="24" t="n">
        <v>72</v>
      </c>
    </row>
    <row r="16">
      <c r="A16" s="25" t="inlineStr">
        <is>
          <t>AL</t>
        </is>
      </c>
      <c r="B16" s="25" t="n">
        <v>2014</v>
      </c>
      <c r="C16" s="26" t="n">
        <v>994352</v>
      </c>
      <c r="D16" s="27" t="n">
        <v>6.313432454</v>
      </c>
      <c r="E16" s="28" t="n">
        <v>9365.32</v>
      </c>
      <c r="F16" s="29" t="n">
        <v>0.2837</v>
      </c>
      <c r="G16" s="29" t="n">
        <v>0.1352</v>
      </c>
      <c r="H16" s="29" t="n">
        <v>0.0965</v>
      </c>
      <c r="I16" s="29" t="n">
        <v>0.0703</v>
      </c>
      <c r="J16" s="29" t="n">
        <v>0.027</v>
      </c>
      <c r="K16" s="29" t="n">
        <v>0.0622</v>
      </c>
      <c r="L16" s="29" t="n">
        <v>0.0513</v>
      </c>
      <c r="M16" s="29" t="n">
        <v>0.049</v>
      </c>
      <c r="N16" s="26" t="n">
        <v>295.3752</v>
      </c>
      <c r="O16" s="26" t="n">
        <v>685.0113</v>
      </c>
      <c r="P16" s="29" t="n">
        <v>0.1717</v>
      </c>
      <c r="Q16" s="29" t="n">
        <v>0.2095</v>
      </c>
      <c r="R16" s="30" t="n">
        <v>70</v>
      </c>
    </row>
    <row r="17">
      <c r="A17" t="inlineStr">
        <is>
          <t>AL</t>
        </is>
      </c>
      <c r="B17" t="n">
        <v>2015</v>
      </c>
      <c r="C17" s="21" t="n">
        <v>1015982</v>
      </c>
      <c r="D17" s="22" t="n">
        <v>6.599466973</v>
      </c>
      <c r="E17" s="15" t="n">
        <v>9786.82</v>
      </c>
      <c r="F17" s="23" t="n">
        <v>0.2781</v>
      </c>
      <c r="G17" s="23" t="n">
        <v>0.1358</v>
      </c>
      <c r="H17" s="23" t="n">
        <v>0.0968</v>
      </c>
      <c r="I17" s="23" t="n">
        <v>0.0712</v>
      </c>
      <c r="J17" s="23" t="n">
        <v>0.0275</v>
      </c>
      <c r="K17" s="23" t="n">
        <v>0.06270000000000001</v>
      </c>
      <c r="L17" s="23" t="n">
        <v>0.0503</v>
      </c>
      <c r="M17" s="23" t="n">
        <v>0.0497</v>
      </c>
      <c r="N17" s="21" t="n">
        <v>296.5393</v>
      </c>
      <c r="O17" s="21" t="n">
        <v>699.6776</v>
      </c>
      <c r="P17" s="23" t="n">
        <v>0.1734</v>
      </c>
      <c r="Q17" s="23" t="n">
        <v>0.2026</v>
      </c>
      <c r="R17" s="24" t="n">
        <v>70</v>
      </c>
    </row>
    <row r="18">
      <c r="A18" s="25" t="inlineStr">
        <is>
          <t>AL</t>
        </is>
      </c>
      <c r="B18" s="25" t="n">
        <v>2016</v>
      </c>
      <c r="C18" s="26" t="n">
        <v>1035191</v>
      </c>
      <c r="D18" s="27" t="n">
        <v>6.667438733</v>
      </c>
      <c r="E18" s="28" t="n">
        <v>9888.059999999999</v>
      </c>
      <c r="F18" s="29" t="n">
        <v>0.2807</v>
      </c>
      <c r="G18" s="29" t="n">
        <v>0.1375</v>
      </c>
      <c r="H18" s="29" t="n">
        <v>0.0959</v>
      </c>
      <c r="I18" s="29" t="n">
        <v>0.0667</v>
      </c>
      <c r="J18" s="29" t="n">
        <v>0.0222</v>
      </c>
      <c r="K18" s="29" t="n">
        <v>0.0645</v>
      </c>
      <c r="L18" s="29" t="n">
        <v>0.0509</v>
      </c>
      <c r="M18" s="29" t="n">
        <v>0.051</v>
      </c>
      <c r="N18" s="26" t="n">
        <v>292.9057</v>
      </c>
      <c r="O18" s="26" t="n">
        <v>694.0776</v>
      </c>
      <c r="P18" s="29" t="n">
        <v>0.1735</v>
      </c>
      <c r="Q18" s="29" t="n">
        <v>0.2</v>
      </c>
      <c r="R18" s="30" t="n">
        <v>70</v>
      </c>
    </row>
    <row r="19">
      <c r="A19" t="inlineStr">
        <is>
          <t>AL</t>
        </is>
      </c>
      <c r="B19" t="n">
        <v>2017</v>
      </c>
      <c r="C19" s="21" t="n">
        <v>1052701</v>
      </c>
      <c r="D19" s="22" t="n">
        <v>6.02220215</v>
      </c>
      <c r="E19" s="15" t="n">
        <v>10395.08</v>
      </c>
      <c r="F19" s="23" t="n">
        <v>0.2815</v>
      </c>
      <c r="G19" s="23" t="n">
        <v>0.1407</v>
      </c>
      <c r="H19" s="23" t="n">
        <v>0.0936</v>
      </c>
      <c r="I19" s="23" t="n">
        <v>0.06660000000000001</v>
      </c>
      <c r="J19" s="23" t="n">
        <v>0.0201</v>
      </c>
      <c r="K19" s="23" t="n">
        <v>0.06510000000000001</v>
      </c>
      <c r="L19" s="23" t="n">
        <v>0.0483</v>
      </c>
      <c r="M19" s="23" t="n">
        <v>0.0518</v>
      </c>
      <c r="N19" s="21" t="n">
        <v>301.9478</v>
      </c>
      <c r="O19" s="21" t="n">
        <v>740.1645</v>
      </c>
      <c r="P19" s="23" t="n">
        <v>0.179</v>
      </c>
      <c r="Q19" s="23" t="n">
        <v>0.2225</v>
      </c>
      <c r="R19" s="24" t="n">
        <v>70</v>
      </c>
    </row>
    <row r="20">
      <c r="A20" s="25" t="inlineStr">
        <is>
          <t>AL</t>
        </is>
      </c>
      <c r="B20" s="25" t="n">
        <v>2018</v>
      </c>
      <c r="C20" s="26" t="n">
        <v>1076245</v>
      </c>
      <c r="D20" s="27" t="n">
        <v>6.002628865</v>
      </c>
      <c r="E20" s="28" t="n">
        <v>10752.74</v>
      </c>
      <c r="F20" s="29" t="n">
        <v>0.2719</v>
      </c>
      <c r="G20" s="29" t="n">
        <v>0.1469</v>
      </c>
      <c r="H20" s="29" t="n">
        <v>0.0914</v>
      </c>
      <c r="I20" s="29" t="n">
        <v>0.0617</v>
      </c>
      <c r="J20" s="29" t="n">
        <v>0.0229</v>
      </c>
      <c r="K20" s="29" t="n">
        <v>0.0646</v>
      </c>
      <c r="L20" s="29" t="n">
        <v>0.0481</v>
      </c>
      <c r="M20" s="29" t="n">
        <v>0.0537</v>
      </c>
      <c r="N20" s="26" t="n">
        <v>291.0458</v>
      </c>
      <c r="O20" s="26" t="n">
        <v>709.8391</v>
      </c>
      <c r="P20" s="29" t="n">
        <v>0.1749</v>
      </c>
      <c r="Q20" s="29" t="n">
        <v>0.2091</v>
      </c>
      <c r="R20" s="30" t="n">
        <v>70</v>
      </c>
    </row>
    <row r="21">
      <c r="A21" t="inlineStr">
        <is>
          <t>AL</t>
        </is>
      </c>
      <c r="B21" t="n">
        <v>2019</v>
      </c>
      <c r="C21" s="21" t="n">
        <v>1095425</v>
      </c>
      <c r="D21" s="22" t="n">
        <v>5.975693727</v>
      </c>
      <c r="E21" s="15" t="n">
        <v>11178.19</v>
      </c>
      <c r="F21" s="23" t="n">
        <v>0.2662</v>
      </c>
      <c r="G21" s="23" t="n">
        <v>0.1502</v>
      </c>
      <c r="H21" s="23" t="n">
        <v>0.0905</v>
      </c>
      <c r="I21" s="23" t="n">
        <v>0.0575</v>
      </c>
      <c r="J21" s="23" t="n">
        <v>0.0218</v>
      </c>
      <c r="K21" s="23" t="n">
        <v>0.0636</v>
      </c>
      <c r="L21" s="23" t="n">
        <v>0.0483</v>
      </c>
      <c r="M21" s="23" t="n">
        <v>0.0551</v>
      </c>
      <c r="N21" s="21" t="n">
        <v>289.2244</v>
      </c>
      <c r="O21" s="21" t="n">
        <v>701.1027</v>
      </c>
      <c r="P21" s="23" t="n">
        <v>0.1774</v>
      </c>
      <c r="Q21" s="23" t="n">
        <v>0.1922</v>
      </c>
      <c r="R21" s="24" t="n">
        <v>71</v>
      </c>
    </row>
    <row r="22">
      <c r="A22" s="25" t="inlineStr">
        <is>
          <t>AL</t>
        </is>
      </c>
      <c r="B22" s="25" t="n">
        <v>2020</v>
      </c>
      <c r="C22" s="26" t="n">
        <v>1112834</v>
      </c>
      <c r="D22" s="27" t="n">
        <v>5.489514236</v>
      </c>
      <c r="E22" s="28" t="n">
        <v>10854.21</v>
      </c>
      <c r="F22" s="29" t="n">
        <v>0.2648</v>
      </c>
      <c r="G22" s="29" t="n">
        <v>0.1435</v>
      </c>
      <c r="H22" s="29" t="n">
        <v>0.0867</v>
      </c>
      <c r="I22" s="29" t="n">
        <v>0.0602</v>
      </c>
      <c r="J22" s="29" t="n">
        <v>0.0233</v>
      </c>
      <c r="K22" s="29" t="n">
        <v>0.066</v>
      </c>
      <c r="L22" s="29" t="n">
        <v>0.044</v>
      </c>
      <c r="M22" s="29" t="n">
        <v>0.0591</v>
      </c>
      <c r="N22" s="26" t="n">
        <v>249.8151</v>
      </c>
      <c r="O22" s="26" t="n">
        <v>562.9738</v>
      </c>
      <c r="P22" s="29" t="n">
        <v>0.1795</v>
      </c>
      <c r="Q22" s="29" t="n">
        <v>0.175</v>
      </c>
      <c r="R22" s="30" t="n">
        <v>71</v>
      </c>
    </row>
    <row r="23">
      <c r="A23" t="inlineStr">
        <is>
          <t>AL</t>
        </is>
      </c>
      <c r="B23" t="n">
        <v>2021</v>
      </c>
      <c r="C23" s="21" t="n">
        <v>1124177</v>
      </c>
      <c r="D23" s="22" t="n">
        <v>5.221036064</v>
      </c>
      <c r="E23" s="15" t="n">
        <v>11427.51</v>
      </c>
      <c r="F23" s="23" t="n">
        <v>0.252</v>
      </c>
      <c r="G23" s="23" t="n">
        <v>0.1559</v>
      </c>
      <c r="H23" s="23" t="n">
        <v>0.0961</v>
      </c>
      <c r="I23" s="23" t="n">
        <v>0.0546</v>
      </c>
      <c r="J23" s="23" t="n">
        <v>0.0235</v>
      </c>
      <c r="K23" s="23" t="n">
        <v>0.06279999999999999</v>
      </c>
      <c r="L23" s="23" t="n">
        <v>0.045</v>
      </c>
      <c r="M23" s="23" t="n">
        <v>0.0569</v>
      </c>
      <c r="N23" s="21" t="n">
        <v>238.5709</v>
      </c>
      <c r="O23" s="21" t="n">
        <v>567.6310999999999</v>
      </c>
      <c r="P23" s="23" t="n">
        <v>0.1749</v>
      </c>
      <c r="Q23" s="23" t="n">
        <v>0.163</v>
      </c>
      <c r="R23" s="24" t="n">
        <v>71</v>
      </c>
    </row>
    <row r="24">
      <c r="A24" s="25" t="inlineStr">
        <is>
          <t>AL</t>
        </is>
      </c>
      <c r="B24" s="25" t="n">
        <v>2022</v>
      </c>
      <c r="C24" s="26" t="n">
        <v>1136151</v>
      </c>
      <c r="D24" s="27" t="n">
        <v>4.992606683</v>
      </c>
      <c r="E24" s="28" t="n">
        <v>11882.97</v>
      </c>
      <c r="F24" s="29" t="n">
        <v>0.2412</v>
      </c>
      <c r="G24" s="29" t="n">
        <v>0.1594</v>
      </c>
      <c r="H24" s="29" t="n">
        <v>0.0945</v>
      </c>
      <c r="I24" s="29" t="n">
        <v>0.0553</v>
      </c>
      <c r="J24" s="29" t="n">
        <v>0.0299</v>
      </c>
      <c r="K24" s="29" t="n">
        <v>0.0598</v>
      </c>
      <c r="L24" s="29" t="n">
        <v>0.0446</v>
      </c>
      <c r="M24" s="29" t="n">
        <v>0.0589</v>
      </c>
      <c r="N24" s="26" t="n">
        <v>238.8991</v>
      </c>
      <c r="O24" s="26" t="n">
        <v>588.1118</v>
      </c>
      <c r="P24" s="29" t="n">
        <v>0.1742</v>
      </c>
      <c r="Q24" s="29" t="n">
        <v>0.1529</v>
      </c>
      <c r="R24" s="30" t="n">
        <v>72</v>
      </c>
    </row>
    <row r="25">
      <c r="A25" t="inlineStr">
        <is>
          <t>AL</t>
        </is>
      </c>
      <c r="B25" t="n">
        <v>2023</v>
      </c>
      <c r="C25" s="21" t="n">
        <v>1151244</v>
      </c>
      <c r="D25" s="22" t="n">
        <v>4.998982104</v>
      </c>
      <c r="E25" s="15" t="n">
        <v>12787.15</v>
      </c>
      <c r="F25" s="23" t="n">
        <v>0.2365</v>
      </c>
      <c r="G25" s="23" t="n">
        <v>0.1606</v>
      </c>
      <c r="H25" s="23" t="n">
        <v>0.0916</v>
      </c>
      <c r="I25" s="23" t="n">
        <v>0.0518</v>
      </c>
      <c r="J25" s="23" t="n">
        <v>0.0425</v>
      </c>
      <c r="K25" s="23" t="n">
        <v>0.0554</v>
      </c>
      <c r="L25" s="23" t="n">
        <v>0.0424</v>
      </c>
      <c r="M25" s="23" t="n">
        <v>0.0604</v>
      </c>
      <c r="N25" s="21" t="n">
        <v>245.0337</v>
      </c>
      <c r="O25" s="21" t="n">
        <v>597.2328</v>
      </c>
      <c r="P25" s="23" t="n">
        <v>0.176</v>
      </c>
      <c r="Q25" s="23" t="n">
        <v>0.1384</v>
      </c>
      <c r="R25" s="24" t="n">
        <v>72</v>
      </c>
    </row>
    <row r="26">
      <c r="A26" s="25" t="inlineStr">
        <is>
          <t>AL</t>
        </is>
      </c>
      <c r="B26" s="25" t="n">
        <v>2024</v>
      </c>
      <c r="C26" s="26" t="n">
        <v>1168516</v>
      </c>
      <c r="D26" s="27" t="n">
        <v>4.933254714</v>
      </c>
      <c r="E26" s="28" t="n">
        <v>13308.73</v>
      </c>
      <c r="F26" s="29" t="n">
        <v>0.23</v>
      </c>
      <c r="G26" s="29" t="n">
        <v>0.1637</v>
      </c>
      <c r="H26" s="29" t="n">
        <v>0.0906</v>
      </c>
      <c r="I26" s="29" t="n">
        <v>0.0512</v>
      </c>
      <c r="J26" s="29" t="n">
        <v>0.0451</v>
      </c>
      <c r="K26" s="29" t="n">
        <v>0.0538</v>
      </c>
      <c r="L26" s="29" t="n">
        <v>0.0407</v>
      </c>
      <c r="M26" s="29" t="n">
        <v>0.0623</v>
      </c>
      <c r="N26" s="26" t="n">
        <v>244.8918</v>
      </c>
      <c r="O26" s="26" t="n">
        <v>598.4143</v>
      </c>
      <c r="P26" s="29" t="n">
        <v>0.1764</v>
      </c>
      <c r="Q26" s="29" t="n">
        <v>0.1252</v>
      </c>
      <c r="R26" s="30" t="n">
        <v>73</v>
      </c>
    </row>
    <row r="27">
      <c r="A27" t="inlineStr">
        <is>
          <t>AR</t>
        </is>
      </c>
      <c r="B27" t="n">
        <v>2014</v>
      </c>
      <c r="C27" s="21" t="n">
        <v>614341</v>
      </c>
      <c r="D27" s="22" t="n">
        <v>3.889900511</v>
      </c>
      <c r="E27" s="15" t="n">
        <v>8745.690000000001</v>
      </c>
      <c r="F27" s="23" t="n">
        <v>0.2996</v>
      </c>
      <c r="G27" s="23" t="n">
        <v>0.1464</v>
      </c>
      <c r="H27" s="23" t="n">
        <v>0.0877</v>
      </c>
      <c r="I27" s="23" t="n">
        <v>0.08069999999999999</v>
      </c>
      <c r="J27" s="23" t="n">
        <v>0.0311</v>
      </c>
      <c r="K27" s="23" t="n">
        <v>0.0469</v>
      </c>
      <c r="L27" s="23" t="n">
        <v>0.0479</v>
      </c>
      <c r="M27" s="23" t="n">
        <v>0.0339</v>
      </c>
      <c r="N27" s="21" t="n">
        <v>292.6937</v>
      </c>
      <c r="O27" s="21" t="n">
        <v>681.5992</v>
      </c>
      <c r="P27" s="23" t="n">
        <v>0.1792</v>
      </c>
      <c r="Q27" s="23" t="n">
        <v>0.2281</v>
      </c>
      <c r="R27" s="24" t="n">
        <v>70</v>
      </c>
    </row>
    <row r="28">
      <c r="A28" s="25" t="inlineStr">
        <is>
          <t>AR</t>
        </is>
      </c>
      <c r="B28" s="25" t="n">
        <v>2015</v>
      </c>
      <c r="C28" s="26" t="n">
        <v>624866</v>
      </c>
      <c r="D28" s="27" t="n">
        <v>4.070604082</v>
      </c>
      <c r="E28" s="28" t="n">
        <v>9113.49</v>
      </c>
      <c r="F28" s="29" t="n">
        <v>0.2915</v>
      </c>
      <c r="G28" s="29" t="n">
        <v>0.1493</v>
      </c>
      <c r="H28" s="29" t="n">
        <v>0.0887</v>
      </c>
      <c r="I28" s="29" t="n">
        <v>0.0804</v>
      </c>
      <c r="J28" s="29" t="n">
        <v>0.0314</v>
      </c>
      <c r="K28" s="29" t="n">
        <v>0.0478</v>
      </c>
      <c r="L28" s="29" t="n">
        <v>0.0476</v>
      </c>
      <c r="M28" s="29" t="n">
        <v>0.033</v>
      </c>
      <c r="N28" s="26" t="n">
        <v>289.8779</v>
      </c>
      <c r="O28" s="26" t="n">
        <v>696.0688</v>
      </c>
      <c r="P28" s="29" t="n">
        <v>0.1773</v>
      </c>
      <c r="Q28" s="29" t="n">
        <v>0.2215</v>
      </c>
      <c r="R28" s="30" t="n">
        <v>70</v>
      </c>
    </row>
    <row r="29">
      <c r="A29" t="inlineStr">
        <is>
          <t>AR</t>
        </is>
      </c>
      <c r="B29" t="n">
        <v>2016</v>
      </c>
      <c r="C29" s="21" t="n">
        <v>634739</v>
      </c>
      <c r="D29" s="22" t="n">
        <v>4.174529172</v>
      </c>
      <c r="E29" s="15" t="n">
        <v>9304.23</v>
      </c>
      <c r="F29" s="23" t="n">
        <v>0.2915</v>
      </c>
      <c r="G29" s="23" t="n">
        <v>0.1548</v>
      </c>
      <c r="H29" s="23" t="n">
        <v>0.0882</v>
      </c>
      <c r="I29" s="23" t="n">
        <v>0.07630000000000001</v>
      </c>
      <c r="J29" s="23" t="n">
        <v>0.0254</v>
      </c>
      <c r="K29" s="23" t="n">
        <v>0.0471</v>
      </c>
      <c r="L29" s="23" t="n">
        <v>0.0474</v>
      </c>
      <c r="M29" s="23" t="n">
        <v>0.034</v>
      </c>
      <c r="N29" s="21" t="n">
        <v>284.122</v>
      </c>
      <c r="O29" s="21" t="n">
        <v>693.532</v>
      </c>
      <c r="P29" s="23" t="n">
        <v>0.1774</v>
      </c>
      <c r="Q29" s="23" t="n">
        <v>0.2158</v>
      </c>
      <c r="R29" s="24" t="n">
        <v>70</v>
      </c>
    </row>
    <row r="30">
      <c r="A30" s="25" t="inlineStr">
        <is>
          <t>AR</t>
        </is>
      </c>
      <c r="B30" s="25" t="n">
        <v>2017</v>
      </c>
      <c r="C30" s="26" t="n">
        <v>643893</v>
      </c>
      <c r="D30" s="27" t="n">
        <v>4.29987001</v>
      </c>
      <c r="E30" s="28" t="n">
        <v>9666.040000000001</v>
      </c>
      <c r="F30" s="29" t="n">
        <v>0.2909</v>
      </c>
      <c r="G30" s="29" t="n">
        <v>0.1612</v>
      </c>
      <c r="H30" s="29" t="n">
        <v>0.0873</v>
      </c>
      <c r="I30" s="29" t="n">
        <v>0.0736</v>
      </c>
      <c r="J30" s="29" t="n">
        <v>0.0229</v>
      </c>
      <c r="K30" s="29" t="n">
        <v>0.0462</v>
      </c>
      <c r="L30" s="29" t="n">
        <v>0.0461</v>
      </c>
      <c r="M30" s="29" t="n">
        <v>0.0336</v>
      </c>
      <c r="N30" s="26" t="n">
        <v>285.7885</v>
      </c>
      <c r="O30" s="26" t="n">
        <v>708.7714</v>
      </c>
      <c r="P30" s="29" t="n">
        <v>0.1798</v>
      </c>
      <c r="Q30" s="29" t="n">
        <v>0.2112</v>
      </c>
      <c r="R30" s="30" t="n">
        <v>71</v>
      </c>
    </row>
    <row r="31">
      <c r="A31" t="inlineStr">
        <is>
          <t>AR</t>
        </is>
      </c>
      <c r="B31" t="n">
        <v>2018</v>
      </c>
      <c r="C31" s="21" t="n">
        <v>657063</v>
      </c>
      <c r="D31" s="22" t="n">
        <v>4.415255004</v>
      </c>
      <c r="E31" s="15" t="n">
        <v>10063.19</v>
      </c>
      <c r="F31" s="23" t="n">
        <v>0.2787</v>
      </c>
      <c r="G31" s="23" t="n">
        <v>0.1709</v>
      </c>
      <c r="H31" s="23" t="n">
        <v>0.08599999999999999</v>
      </c>
      <c r="I31" s="23" t="n">
        <v>0.07000000000000001</v>
      </c>
      <c r="J31" s="23" t="n">
        <v>0.0244</v>
      </c>
      <c r="K31" s="23" t="n">
        <v>0.0459</v>
      </c>
      <c r="L31" s="23" t="n">
        <v>0.0458</v>
      </c>
      <c r="M31" s="23" t="n">
        <v>0.035</v>
      </c>
      <c r="N31" s="21" t="n">
        <v>276.7275</v>
      </c>
      <c r="O31" s="21" t="n">
        <v>686.5457</v>
      </c>
      <c r="P31" s="23" t="n">
        <v>0.1765</v>
      </c>
      <c r="Q31" s="23" t="n">
        <v>0.2007</v>
      </c>
      <c r="R31" s="24" t="n">
        <v>71</v>
      </c>
    </row>
    <row r="32">
      <c r="A32" s="25" t="inlineStr">
        <is>
          <t>AR</t>
        </is>
      </c>
      <c r="B32" s="25" t="n">
        <v>2019</v>
      </c>
      <c r="C32" s="26" t="n">
        <v>666885</v>
      </c>
      <c r="D32" s="27" t="n">
        <v>4.517817409</v>
      </c>
      <c r="E32" s="28" t="n">
        <v>10518.93</v>
      </c>
      <c r="F32" s="29" t="n">
        <v>0.2704</v>
      </c>
      <c r="G32" s="29" t="n">
        <v>0.174</v>
      </c>
      <c r="H32" s="29" t="n">
        <v>0.0859</v>
      </c>
      <c r="I32" s="29" t="n">
        <v>0.0655</v>
      </c>
      <c r="J32" s="29" t="n">
        <v>0.0237</v>
      </c>
      <c r="K32" s="29" t="n">
        <v>0.0452</v>
      </c>
      <c r="L32" s="29" t="n">
        <v>0.0458</v>
      </c>
      <c r="M32" s="29" t="n">
        <v>0.0379</v>
      </c>
      <c r="N32" s="26" t="n">
        <v>269.6056</v>
      </c>
      <c r="O32" s="26" t="n">
        <v>675.0991</v>
      </c>
      <c r="P32" s="29" t="n">
        <v>0.1775</v>
      </c>
      <c r="Q32" s="29" t="n">
        <v>0.1909</v>
      </c>
      <c r="R32" s="30" t="n">
        <v>71</v>
      </c>
    </row>
    <row r="33">
      <c r="A33" t="inlineStr">
        <is>
          <t>AR</t>
        </is>
      </c>
      <c r="B33" t="n">
        <v>2020</v>
      </c>
      <c r="C33" s="21" t="n">
        <v>676740</v>
      </c>
      <c r="D33" s="22" t="n">
        <v>4.25039798</v>
      </c>
      <c r="E33" s="15" t="n">
        <v>10252.13</v>
      </c>
      <c r="F33" s="23" t="n">
        <v>0.2562</v>
      </c>
      <c r="G33" s="23" t="n">
        <v>0.1675</v>
      </c>
      <c r="H33" s="23" t="n">
        <v>0.0803</v>
      </c>
      <c r="I33" s="23" t="n">
        <v>0.08169999999999999</v>
      </c>
      <c r="J33" s="23" t="n">
        <v>0.0271</v>
      </c>
      <c r="K33" s="23" t="n">
        <v>0.0462</v>
      </c>
      <c r="L33" s="23" t="n">
        <v>0.0412</v>
      </c>
      <c r="M33" s="23" t="n">
        <v>0.04</v>
      </c>
      <c r="N33" s="21" t="n">
        <v>233.0102</v>
      </c>
      <c r="O33" s="21" t="n">
        <v>554.4506</v>
      </c>
      <c r="P33" s="23" t="n">
        <v>0.1771</v>
      </c>
      <c r="Q33" s="23" t="n">
        <v>0.1811</v>
      </c>
      <c r="R33" s="24" t="n">
        <v>71</v>
      </c>
    </row>
    <row r="34">
      <c r="A34" s="25" t="inlineStr">
        <is>
          <t>AR</t>
        </is>
      </c>
      <c r="B34" s="25" t="n">
        <v>2021</v>
      </c>
      <c r="C34" s="26" t="n">
        <v>684579</v>
      </c>
      <c r="D34" s="27" t="n">
        <v>4.176896064</v>
      </c>
      <c r="E34" s="28" t="n">
        <v>10720.79</v>
      </c>
      <c r="F34" s="29" t="n">
        <v>0.2461</v>
      </c>
      <c r="G34" s="29" t="n">
        <v>0.1815</v>
      </c>
      <c r="H34" s="29" t="n">
        <v>0.0897</v>
      </c>
      <c r="I34" s="29" t="n">
        <v>0.0677</v>
      </c>
      <c r="J34" s="29" t="n">
        <v>0.0273</v>
      </c>
      <c r="K34" s="29" t="n">
        <v>0.0443</v>
      </c>
      <c r="L34" s="29" t="n">
        <v>0.0425</v>
      </c>
      <c r="M34" s="29" t="n">
        <v>0.0392</v>
      </c>
      <c r="N34" s="26" t="n">
        <v>224.8343</v>
      </c>
      <c r="O34" s="26" t="n">
        <v>563.034</v>
      </c>
      <c r="P34" s="29" t="n">
        <v>0.1765</v>
      </c>
      <c r="Q34" s="29" t="n">
        <v>0.1684</v>
      </c>
      <c r="R34" s="30" t="n">
        <v>72</v>
      </c>
    </row>
    <row r="35">
      <c r="A35" t="inlineStr">
        <is>
          <t>AR</t>
        </is>
      </c>
      <c r="B35" t="n">
        <v>2022</v>
      </c>
      <c r="C35" s="21" t="n">
        <v>691982</v>
      </c>
      <c r="D35" s="22" t="n">
        <v>4.174566284</v>
      </c>
      <c r="E35" s="15" t="n">
        <v>11292.84</v>
      </c>
      <c r="F35" s="23" t="n">
        <v>0.2393</v>
      </c>
      <c r="G35" s="23" t="n">
        <v>0.183</v>
      </c>
      <c r="H35" s="23" t="n">
        <v>0.08599999999999999</v>
      </c>
      <c r="I35" s="23" t="n">
        <v>0.07190000000000001</v>
      </c>
      <c r="J35" s="23" t="n">
        <v>0.0287</v>
      </c>
      <c r="K35" s="23" t="n">
        <v>0.0414</v>
      </c>
      <c r="L35" s="23" t="n">
        <v>0.0418</v>
      </c>
      <c r="M35" s="23" t="n">
        <v>0.0411</v>
      </c>
      <c r="N35" s="21" t="n">
        <v>224.6088</v>
      </c>
      <c r="O35" s="21" t="n">
        <v>583.2037</v>
      </c>
      <c r="P35" s="23" t="n">
        <v>0.1728</v>
      </c>
      <c r="Q35" s="23" t="n">
        <v>0.158</v>
      </c>
      <c r="R35" s="24" t="n">
        <v>72</v>
      </c>
    </row>
    <row r="36">
      <c r="A36" s="25" t="inlineStr">
        <is>
          <t>AR</t>
        </is>
      </c>
      <c r="B36" s="25" t="n">
        <v>2023</v>
      </c>
      <c r="C36" s="26" t="n">
        <v>699823</v>
      </c>
      <c r="D36" s="27" t="n">
        <v>4.087756795</v>
      </c>
      <c r="E36" s="28" t="n">
        <v>12119.84</v>
      </c>
      <c r="F36" s="29" t="n">
        <v>0.2294</v>
      </c>
      <c r="G36" s="29" t="n">
        <v>0.1846</v>
      </c>
      <c r="H36" s="29" t="n">
        <v>0.0832</v>
      </c>
      <c r="I36" s="29" t="n">
        <v>0.0653</v>
      </c>
      <c r="J36" s="29" t="n">
        <v>0.0386</v>
      </c>
      <c r="K36" s="29" t="n">
        <v>0.0388</v>
      </c>
      <c r="L36" s="29" t="n">
        <v>0.0394</v>
      </c>
      <c r="M36" s="29" t="n">
        <v>0.043</v>
      </c>
      <c r="N36" s="26" t="n">
        <v>226.1458</v>
      </c>
      <c r="O36" s="26" t="n">
        <v>590.7767</v>
      </c>
      <c r="P36" s="29" t="n">
        <v>0.1758</v>
      </c>
      <c r="Q36" s="29" t="n">
        <v>0.1564</v>
      </c>
      <c r="R36" s="30" t="n">
        <v>73</v>
      </c>
    </row>
    <row r="37">
      <c r="A37" t="inlineStr">
        <is>
          <t>AR</t>
        </is>
      </c>
      <c r="B37" t="n">
        <v>2024</v>
      </c>
      <c r="C37" s="21" t="n">
        <v>709661</v>
      </c>
      <c r="D37" s="22" t="n">
        <v>4.218500374</v>
      </c>
      <c r="E37" s="15" t="n">
        <v>12895.41</v>
      </c>
      <c r="F37" s="23" t="n">
        <v>0.2205</v>
      </c>
      <c r="G37" s="23" t="n">
        <v>0.1889</v>
      </c>
      <c r="H37" s="23" t="n">
        <v>0.0801</v>
      </c>
      <c r="I37" s="23" t="n">
        <v>0.0594</v>
      </c>
      <c r="J37" s="23" t="n">
        <v>0.0475</v>
      </c>
      <c r="K37" s="23" t="n">
        <v>0.0372</v>
      </c>
      <c r="L37" s="23" t="n">
        <v>0.0376</v>
      </c>
      <c r="M37" s="23" t="n">
        <v>0.0446</v>
      </c>
      <c r="N37" s="21" t="n">
        <v>227.2875</v>
      </c>
      <c r="O37" s="21" t="n">
        <v>597.2788</v>
      </c>
      <c r="P37" s="23" t="n">
        <v>0.1777</v>
      </c>
      <c r="Q37" s="23" t="n">
        <v>0.1292</v>
      </c>
      <c r="R37" s="24" t="n">
        <v>73</v>
      </c>
    </row>
    <row r="38">
      <c r="A38" s="25" t="inlineStr">
        <is>
          <t>AZ</t>
        </is>
      </c>
      <c r="B38" s="25" t="n">
        <v>2014</v>
      </c>
      <c r="C38" s="26" t="n">
        <v>1147495</v>
      </c>
      <c r="D38" s="27" t="n">
        <v>4.966952544</v>
      </c>
      <c r="E38" s="28" t="n">
        <v>8302.370000000001</v>
      </c>
      <c r="F38" s="29" t="n">
        <v>0.2735</v>
      </c>
      <c r="G38" s="29" t="n">
        <v>0.126</v>
      </c>
      <c r="H38" s="29" t="n">
        <v>0.1203</v>
      </c>
      <c r="I38" s="29" t="n">
        <v>0.0556</v>
      </c>
      <c r="J38" s="29" t="n">
        <v>0.0224</v>
      </c>
      <c r="K38" s="29" t="n">
        <v>0.0318</v>
      </c>
      <c r="L38" s="29" t="n">
        <v>0.0672</v>
      </c>
      <c r="M38" s="29" t="n">
        <v>0.0439</v>
      </c>
      <c r="N38" s="26" t="n">
        <v>232.9718</v>
      </c>
      <c r="O38" s="26" t="n">
        <v>551.6709</v>
      </c>
      <c r="P38" s="29" t="n">
        <v>0.1625</v>
      </c>
      <c r="Q38" s="29" t="n">
        <v>0.1114</v>
      </c>
      <c r="R38" s="30" t="n">
        <v>72</v>
      </c>
    </row>
    <row r="39">
      <c r="A39" t="inlineStr">
        <is>
          <t>AZ</t>
        </is>
      </c>
      <c r="B39" t="n">
        <v>2015</v>
      </c>
      <c r="C39" s="21" t="n">
        <v>1192191</v>
      </c>
      <c r="D39" s="22" t="n">
        <v>5.300453571</v>
      </c>
      <c r="E39" s="15" t="n">
        <v>8595.790000000001</v>
      </c>
      <c r="F39" s="23" t="n">
        <v>0.2668</v>
      </c>
      <c r="G39" s="23" t="n">
        <v>0.1299</v>
      </c>
      <c r="H39" s="23" t="n">
        <v>0.1192</v>
      </c>
      <c r="I39" s="23" t="n">
        <v>0.0541</v>
      </c>
      <c r="J39" s="23" t="n">
        <v>0.0231</v>
      </c>
      <c r="K39" s="23" t="n">
        <v>0.0335</v>
      </c>
      <c r="L39" s="23" t="n">
        <v>0.0672</v>
      </c>
      <c r="M39" s="23" t="n">
        <v>0.0407</v>
      </c>
      <c r="N39" s="21" t="n">
        <v>227.1818</v>
      </c>
      <c r="O39" s="21" t="n">
        <v>570.0643</v>
      </c>
      <c r="P39" s="23" t="n">
        <v>0.161</v>
      </c>
      <c r="Q39" s="23" t="n">
        <v>0.1095</v>
      </c>
      <c r="R39" s="24" t="n">
        <v>72</v>
      </c>
    </row>
    <row r="40">
      <c r="A40" s="25" t="inlineStr">
        <is>
          <t>AZ</t>
        </is>
      </c>
      <c r="B40" s="25" t="n">
        <v>2016</v>
      </c>
      <c r="C40" s="26" t="n">
        <v>1235820</v>
      </c>
      <c r="D40" s="27" t="n">
        <v>5.557675413</v>
      </c>
      <c r="E40" s="28" t="n">
        <v>8692.030000000001</v>
      </c>
      <c r="F40" s="29" t="n">
        <v>0.2686</v>
      </c>
      <c r="G40" s="29" t="n">
        <v>0.1322</v>
      </c>
      <c r="H40" s="29" t="n">
        <v>0.1169</v>
      </c>
      <c r="I40" s="29" t="n">
        <v>0.0512</v>
      </c>
      <c r="J40" s="29" t="n">
        <v>0.0204</v>
      </c>
      <c r="K40" s="29" t="n">
        <v>0.0341</v>
      </c>
      <c r="L40" s="29" t="n">
        <v>0.06900000000000001</v>
      </c>
      <c r="M40" s="29" t="n">
        <v>0.0407</v>
      </c>
      <c r="N40" s="26" t="n">
        <v>220.4164</v>
      </c>
      <c r="O40" s="26" t="n">
        <v>575.8095</v>
      </c>
      <c r="P40" s="29" t="n">
        <v>0.1582</v>
      </c>
      <c r="Q40" s="29" t="n">
        <v>0.1096</v>
      </c>
      <c r="R40" s="30" t="n">
        <v>72</v>
      </c>
    </row>
    <row r="41">
      <c r="A41" t="inlineStr">
        <is>
          <t>AZ</t>
        </is>
      </c>
      <c r="B41" t="n">
        <v>2017</v>
      </c>
      <c r="C41" s="21" t="n">
        <v>1280345</v>
      </c>
      <c r="D41" s="22" t="n">
        <v>5.865011581</v>
      </c>
      <c r="E41" s="15" t="n">
        <v>8925.76</v>
      </c>
      <c r="F41" s="23" t="n">
        <v>0.2626</v>
      </c>
      <c r="G41" s="23" t="n">
        <v>0.1412</v>
      </c>
      <c r="H41" s="23" t="n">
        <v>0.1166</v>
      </c>
      <c r="I41" s="23" t="n">
        <v>0.0475</v>
      </c>
      <c r="J41" s="23" t="n">
        <v>0.0197</v>
      </c>
      <c r="K41" s="23" t="n">
        <v>0.0337</v>
      </c>
      <c r="L41" s="23" t="n">
        <v>0.0678</v>
      </c>
      <c r="M41" s="23" t="n">
        <v>0.0416</v>
      </c>
      <c r="N41" s="21" t="n">
        <v>221.0739</v>
      </c>
      <c r="O41" s="21" t="n">
        <v>583.1715</v>
      </c>
      <c r="P41" s="23" t="n">
        <v>0.1597</v>
      </c>
      <c r="Q41" s="23" t="n">
        <v>0.1075</v>
      </c>
      <c r="R41" s="24" t="n">
        <v>72</v>
      </c>
    </row>
    <row r="42">
      <c r="A42" s="25" t="inlineStr">
        <is>
          <t>AZ</t>
        </is>
      </c>
      <c r="B42" s="25" t="n">
        <v>2018</v>
      </c>
      <c r="C42" s="26" t="n">
        <v>1329800</v>
      </c>
      <c r="D42" s="27" t="n">
        <v>6.168715094</v>
      </c>
      <c r="E42" s="28" t="n">
        <v>9145.030000000001</v>
      </c>
      <c r="F42" s="29" t="n">
        <v>0.2521</v>
      </c>
      <c r="G42" s="29" t="n">
        <v>0.1495</v>
      </c>
      <c r="H42" s="29" t="n">
        <v>0.1154</v>
      </c>
      <c r="I42" s="29" t="n">
        <v>0.0454</v>
      </c>
      <c r="J42" s="29" t="n">
        <v>0.0211</v>
      </c>
      <c r="K42" s="29" t="n">
        <v>0.0343</v>
      </c>
      <c r="L42" s="29" t="n">
        <v>0.0692</v>
      </c>
      <c r="M42" s="29" t="n">
        <v>0.0406</v>
      </c>
      <c r="N42" s="26" t="n">
        <v>210.1393</v>
      </c>
      <c r="O42" s="26" t="n">
        <v>557.5805</v>
      </c>
      <c r="P42" s="29" t="n">
        <v>0.1588</v>
      </c>
      <c r="Q42" s="29" t="n">
        <v>0.1036</v>
      </c>
      <c r="R42" s="30" t="n">
        <v>73</v>
      </c>
    </row>
    <row r="43">
      <c r="A43" t="inlineStr">
        <is>
          <t>AZ</t>
        </is>
      </c>
      <c r="B43" t="n">
        <v>2019</v>
      </c>
      <c r="C43" s="21" t="n">
        <v>1384678</v>
      </c>
      <c r="D43" s="22" t="n">
        <v>6.463072821</v>
      </c>
      <c r="E43" s="15" t="n">
        <v>9476.690000000001</v>
      </c>
      <c r="F43" s="23" t="n">
        <v>0.2464</v>
      </c>
      <c r="G43" s="23" t="n">
        <v>0.1531</v>
      </c>
      <c r="H43" s="23" t="n">
        <v>0.1137</v>
      </c>
      <c r="I43" s="23" t="n">
        <v>0.045</v>
      </c>
      <c r="J43" s="23" t="n">
        <v>0.0209</v>
      </c>
      <c r="K43" s="23" t="n">
        <v>0.0336</v>
      </c>
      <c r="L43" s="23" t="n">
        <v>0.0702</v>
      </c>
      <c r="M43" s="23" t="n">
        <v>0.0415</v>
      </c>
      <c r="N43" s="21" t="n">
        <v>209.2824</v>
      </c>
      <c r="O43" s="21" t="n">
        <v>557.7560999999999</v>
      </c>
      <c r="P43" s="23" t="n">
        <v>0.1589</v>
      </c>
      <c r="Q43" s="23" t="n">
        <v>0.105</v>
      </c>
      <c r="R43" s="24" t="n">
        <v>73</v>
      </c>
    </row>
    <row r="44">
      <c r="A44" s="25" t="inlineStr">
        <is>
          <t>AZ</t>
        </is>
      </c>
      <c r="B44" s="25" t="n">
        <v>2020</v>
      </c>
      <c r="C44" s="26" t="n">
        <v>1432482</v>
      </c>
      <c r="D44" s="27" t="n">
        <v>6.155743552</v>
      </c>
      <c r="E44" s="28" t="n">
        <v>9032.51</v>
      </c>
      <c r="F44" s="29" t="n">
        <v>0.2461</v>
      </c>
      <c r="G44" s="29" t="n">
        <v>0.1473</v>
      </c>
      <c r="H44" s="29" t="n">
        <v>0.1091</v>
      </c>
      <c r="I44" s="29" t="n">
        <v>0.0448</v>
      </c>
      <c r="J44" s="29" t="n">
        <v>0.0265</v>
      </c>
      <c r="K44" s="29" t="n">
        <v>0.0333</v>
      </c>
      <c r="L44" s="29" t="n">
        <v>0.0664</v>
      </c>
      <c r="M44" s="29" t="n">
        <v>0.0464</v>
      </c>
      <c r="N44" s="26" t="n">
        <v>182.8337</v>
      </c>
      <c r="O44" s="26" t="n">
        <v>441.2114</v>
      </c>
      <c r="P44" s="29" t="n">
        <v>0.1643</v>
      </c>
      <c r="Q44" s="29" t="n">
        <v>0.0963</v>
      </c>
      <c r="R44" s="30" t="n">
        <v>73</v>
      </c>
    </row>
    <row r="45">
      <c r="A45" t="inlineStr">
        <is>
          <t>AZ</t>
        </is>
      </c>
      <c r="B45" t="n">
        <v>2021</v>
      </c>
      <c r="C45" s="21" t="n">
        <v>1466118</v>
      </c>
      <c r="D45" s="22" t="n">
        <v>6.592469548</v>
      </c>
      <c r="E45" s="15" t="n">
        <v>9967.129999999999</v>
      </c>
      <c r="F45" s="23" t="n">
        <v>0.2338</v>
      </c>
      <c r="G45" s="23" t="n">
        <v>0.1541</v>
      </c>
      <c r="H45" s="23" t="n">
        <v>0.1165</v>
      </c>
      <c r="I45" s="23" t="n">
        <v>0.0435</v>
      </c>
      <c r="J45" s="23" t="n">
        <v>0.0287</v>
      </c>
      <c r="K45" s="23" t="n">
        <v>0.0311</v>
      </c>
      <c r="L45" s="23" t="n">
        <v>0.0658</v>
      </c>
      <c r="M45" s="23" t="n">
        <v>0.0432</v>
      </c>
      <c r="N45" s="21" t="n">
        <v>183.1239</v>
      </c>
      <c r="O45" s="21" t="n">
        <v>483.9686</v>
      </c>
      <c r="P45" s="23" t="n">
        <v>0.1621</v>
      </c>
      <c r="Q45" s="23" t="n">
        <v>0.0897</v>
      </c>
      <c r="R45" s="24" t="n">
        <v>73</v>
      </c>
    </row>
    <row r="46">
      <c r="A46" s="25" t="inlineStr">
        <is>
          <t>AZ</t>
        </is>
      </c>
      <c r="B46" s="25" t="n">
        <v>2022</v>
      </c>
      <c r="C46" s="26" t="n">
        <v>1494975</v>
      </c>
      <c r="D46" s="27" t="n">
        <v>6.644487565</v>
      </c>
      <c r="E46" s="28" t="n">
        <v>10331.79</v>
      </c>
      <c r="F46" s="29" t="n">
        <v>0.2224</v>
      </c>
      <c r="G46" s="29" t="n">
        <v>0.1612</v>
      </c>
      <c r="H46" s="29" t="n">
        <v>0.1137</v>
      </c>
      <c r="I46" s="29" t="n">
        <v>0.0471</v>
      </c>
      <c r="J46" s="29" t="n">
        <v>0.031</v>
      </c>
      <c r="K46" s="29" t="n">
        <v>0.0304</v>
      </c>
      <c r="L46" s="29" t="n">
        <v>0.06469999999999999</v>
      </c>
      <c r="M46" s="29" t="n">
        <v>0.0422</v>
      </c>
      <c r="N46" s="26" t="n">
        <v>179.2521</v>
      </c>
      <c r="O46" s="26" t="n">
        <v>498.8252</v>
      </c>
      <c r="P46" s="29" t="n">
        <v>0.1612</v>
      </c>
      <c r="Q46" s="29" t="n">
        <v>0.0854</v>
      </c>
      <c r="R46" s="30" t="n">
        <v>74</v>
      </c>
    </row>
    <row r="47">
      <c r="A47" t="inlineStr">
        <is>
          <t>AZ</t>
        </is>
      </c>
      <c r="B47" t="n">
        <v>2023</v>
      </c>
      <c r="C47" s="21" t="n">
        <v>1528056</v>
      </c>
      <c r="D47" s="22" t="n">
        <v>7.428750834</v>
      </c>
      <c r="E47" s="15" t="n">
        <v>11789.65</v>
      </c>
      <c r="F47" s="23" t="n">
        <v>0.2056</v>
      </c>
      <c r="G47" s="23" t="n">
        <v>0.1538</v>
      </c>
      <c r="H47" s="23" t="n">
        <v>0.1037</v>
      </c>
      <c r="I47" s="23" t="n">
        <v>0.0396</v>
      </c>
      <c r="J47" s="23" t="n">
        <v>0.09030000000000001</v>
      </c>
      <c r="K47" s="23" t="n">
        <v>0.0274</v>
      </c>
      <c r="L47" s="23" t="n">
        <v>0.0577</v>
      </c>
      <c r="M47" s="23" t="n">
        <v>0.0402</v>
      </c>
      <c r="N47" s="21" t="n">
        <v>187.5425</v>
      </c>
      <c r="O47" s="21" t="n">
        <v>518.6079</v>
      </c>
      <c r="P47" s="23" t="n">
        <v>0.1631</v>
      </c>
      <c r="Q47" s="23" t="n">
        <v>0.0837</v>
      </c>
      <c r="R47" s="24" t="n">
        <v>74</v>
      </c>
    </row>
    <row r="48">
      <c r="A48" s="25" t="inlineStr">
        <is>
          <t>AZ</t>
        </is>
      </c>
      <c r="B48" s="25" t="n">
        <v>2024</v>
      </c>
      <c r="C48" s="26" t="n">
        <v>1565366</v>
      </c>
      <c r="D48" s="27" t="n">
        <v>7.626784393</v>
      </c>
      <c r="E48" s="28" t="n">
        <v>12250.72</v>
      </c>
      <c r="F48" s="29" t="n">
        <v>0.2061</v>
      </c>
      <c r="G48" s="29" t="n">
        <v>0.1544</v>
      </c>
      <c r="H48" s="29" t="n">
        <v>0.1043</v>
      </c>
      <c r="I48" s="29" t="n">
        <v>0.039</v>
      </c>
      <c r="J48" s="29" t="n">
        <v>0.073</v>
      </c>
      <c r="K48" s="29" t="n">
        <v>0.0271</v>
      </c>
      <c r="L48" s="29" t="n">
        <v>0.0558</v>
      </c>
      <c r="M48" s="29" t="n">
        <v>0.0398</v>
      </c>
      <c r="N48" s="26" t="n">
        <v>192.5716</v>
      </c>
      <c r="O48" s="26" t="n">
        <v>533.3864</v>
      </c>
      <c r="P48" s="29" t="n">
        <v>0.1634</v>
      </c>
      <c r="Q48" s="29" t="n">
        <v>0.0743</v>
      </c>
      <c r="R48" s="30" t="n">
        <v>74</v>
      </c>
    </row>
    <row r="49">
      <c r="A49" t="inlineStr">
        <is>
          <t>CA</t>
        </is>
      </c>
      <c r="B49" t="n">
        <v>2014</v>
      </c>
      <c r="C49" s="21" t="n">
        <v>5760925</v>
      </c>
      <c r="D49" s="22" t="n">
        <v>23.515352278</v>
      </c>
      <c r="E49" s="15" t="n">
        <v>8649.18</v>
      </c>
      <c r="F49" s="23" t="n">
        <v>0.2841</v>
      </c>
      <c r="G49" s="23" t="n">
        <v>0.1154</v>
      </c>
      <c r="H49" s="23" t="n">
        <v>0.1132</v>
      </c>
      <c r="I49" s="23" t="n">
        <v>0.0895</v>
      </c>
      <c r="J49" s="23" t="n">
        <v>0.0211</v>
      </c>
      <c r="K49" s="23" t="n">
        <v>0.0517</v>
      </c>
      <c r="L49" s="23" t="n">
        <v>0.0571</v>
      </c>
      <c r="M49" s="23" t="n">
        <v>0.0286</v>
      </c>
      <c r="N49" s="21" t="n">
        <v>242.9926</v>
      </c>
      <c r="O49" s="21" t="n">
        <v>580.0673</v>
      </c>
      <c r="P49" s="23" t="n">
        <v>0.1806</v>
      </c>
      <c r="Q49" s="23" t="n">
        <v>0.2846</v>
      </c>
      <c r="R49" s="24" t="n">
        <v>72</v>
      </c>
    </row>
    <row r="50">
      <c r="A50" s="25" t="inlineStr">
        <is>
          <t>CA</t>
        </is>
      </c>
      <c r="B50" s="25" t="n">
        <v>2015</v>
      </c>
      <c r="C50" s="26" t="n">
        <v>5939098</v>
      </c>
      <c r="D50" s="27" t="n">
        <v>24.683309424</v>
      </c>
      <c r="E50" s="28" t="n">
        <v>8956.629999999999</v>
      </c>
      <c r="F50" s="29" t="n">
        <v>0.2805</v>
      </c>
      <c r="G50" s="29" t="n">
        <v>0.1198</v>
      </c>
      <c r="H50" s="29" t="n">
        <v>0.1124</v>
      </c>
      <c r="I50" s="29" t="n">
        <v>0.0881</v>
      </c>
      <c r="J50" s="29" t="n">
        <v>0.0221</v>
      </c>
      <c r="K50" s="29" t="n">
        <v>0.0538</v>
      </c>
      <c r="L50" s="29" t="n">
        <v>0.0563</v>
      </c>
      <c r="M50" s="29" t="n">
        <v>0.0295</v>
      </c>
      <c r="N50" s="26" t="n">
        <v>243.7852</v>
      </c>
      <c r="O50" s="26" t="n">
        <v>600.4175</v>
      </c>
      <c r="P50" s="29" t="n">
        <v>0.1823</v>
      </c>
      <c r="Q50" s="29" t="n">
        <v>0.2868</v>
      </c>
      <c r="R50" s="30" t="n">
        <v>72</v>
      </c>
    </row>
    <row r="51">
      <c r="A51" t="inlineStr">
        <is>
          <t>CA</t>
        </is>
      </c>
      <c r="B51" t="n">
        <v>2016</v>
      </c>
      <c r="C51" s="21" t="n">
        <v>6095984</v>
      </c>
      <c r="D51" s="22" t="n">
        <v>25.786253761</v>
      </c>
      <c r="E51" s="15" t="n">
        <v>9163.91</v>
      </c>
      <c r="F51" s="23" t="n">
        <v>0.2848</v>
      </c>
      <c r="G51" s="23" t="n">
        <v>0.123</v>
      </c>
      <c r="H51" s="23" t="n">
        <v>0.1104</v>
      </c>
      <c r="I51" s="23" t="n">
        <v>0.0857</v>
      </c>
      <c r="J51" s="23" t="n">
        <v>0.0201</v>
      </c>
      <c r="K51" s="23" t="n">
        <v>0.0552</v>
      </c>
      <c r="L51" s="23" t="n">
        <v>0.0559</v>
      </c>
      <c r="M51" s="23" t="n">
        <v>0.0319</v>
      </c>
      <c r="N51" s="21" t="n">
        <v>246.0959</v>
      </c>
      <c r="O51" s="21" t="n">
        <v>614.9414</v>
      </c>
      <c r="P51" s="23" t="n">
        <v>0.1839</v>
      </c>
      <c r="Q51" s="23" t="n">
        <v>0.3014</v>
      </c>
      <c r="R51" s="24" t="n">
        <v>72</v>
      </c>
    </row>
    <row r="52">
      <c r="A52" s="25" t="inlineStr">
        <is>
          <t>CA</t>
        </is>
      </c>
      <c r="B52" s="25" t="n">
        <v>2017</v>
      </c>
      <c r="C52" s="26" t="n">
        <v>6245841</v>
      </c>
      <c r="D52" s="27" t="n">
        <v>26.830038968</v>
      </c>
      <c r="E52" s="28" t="n">
        <v>9429.77</v>
      </c>
      <c r="F52" s="29" t="n">
        <v>0.2839</v>
      </c>
      <c r="G52" s="29" t="n">
        <v>0.1268</v>
      </c>
      <c r="H52" s="29" t="n">
        <v>0.1103</v>
      </c>
      <c r="I52" s="29" t="n">
        <v>0.0835</v>
      </c>
      <c r="J52" s="29" t="n">
        <v>0.0189</v>
      </c>
      <c r="K52" s="29" t="n">
        <v>0.0556</v>
      </c>
      <c r="L52" s="29" t="n">
        <v>0.0555</v>
      </c>
      <c r="M52" s="29" t="n">
        <v>0.0331</v>
      </c>
      <c r="N52" s="26" t="n">
        <v>248.8473</v>
      </c>
      <c r="O52" s="26" t="n">
        <v>628.6174999999999</v>
      </c>
      <c r="P52" s="29" t="n">
        <v>0.1863</v>
      </c>
      <c r="Q52" s="29" t="n">
        <v>0.3033</v>
      </c>
      <c r="R52" s="30" t="n">
        <v>72</v>
      </c>
    </row>
    <row r="53">
      <c r="A53" t="inlineStr">
        <is>
          <t>CA</t>
        </is>
      </c>
      <c r="B53" t="n">
        <v>2018</v>
      </c>
      <c r="C53" s="21" t="n">
        <v>6418955</v>
      </c>
      <c r="D53" s="22" t="n">
        <v>28.117965338</v>
      </c>
      <c r="E53" s="15" t="n">
        <v>9832.700000000001</v>
      </c>
      <c r="F53" s="23" t="n">
        <v>0.2731</v>
      </c>
      <c r="G53" s="23" t="n">
        <v>0.1379</v>
      </c>
      <c r="H53" s="23" t="n">
        <v>0.1071</v>
      </c>
      <c r="I53" s="23" t="n">
        <v>0.0809</v>
      </c>
      <c r="J53" s="23" t="n">
        <v>0.0208</v>
      </c>
      <c r="K53" s="23" t="n">
        <v>0.0567</v>
      </c>
      <c r="L53" s="23" t="n">
        <v>0.0546</v>
      </c>
      <c r="M53" s="23" t="n">
        <v>0.0345</v>
      </c>
      <c r="N53" s="21" t="n">
        <v>242.3656</v>
      </c>
      <c r="O53" s="21" t="n">
        <v>618.5522</v>
      </c>
      <c r="P53" s="23" t="n">
        <v>0.1859</v>
      </c>
      <c r="Q53" s="23" t="n">
        <v>0.3025</v>
      </c>
      <c r="R53" s="24" t="n">
        <v>72</v>
      </c>
    </row>
    <row r="54">
      <c r="A54" s="25" t="inlineStr">
        <is>
          <t>CA</t>
        </is>
      </c>
      <c r="B54" s="25" t="n">
        <v>2019</v>
      </c>
      <c r="C54" s="26" t="n">
        <v>6574726</v>
      </c>
      <c r="D54" s="27" t="n">
        <v>29.186718925</v>
      </c>
      <c r="E54" s="28" t="n">
        <v>10219.52</v>
      </c>
      <c r="F54" s="29" t="n">
        <v>0.2682</v>
      </c>
      <c r="G54" s="29" t="n">
        <v>0.14</v>
      </c>
      <c r="H54" s="29" t="n">
        <v>0.1061</v>
      </c>
      <c r="I54" s="29" t="n">
        <v>0.0814</v>
      </c>
      <c r="J54" s="29" t="n">
        <v>0.021</v>
      </c>
      <c r="K54" s="29" t="n">
        <v>0.0575</v>
      </c>
      <c r="L54" s="29" t="n">
        <v>0.0545</v>
      </c>
      <c r="M54" s="29" t="n">
        <v>0.0354</v>
      </c>
      <c r="N54" s="26" t="n">
        <v>240.4171</v>
      </c>
      <c r="O54" s="26" t="n">
        <v>624.0101</v>
      </c>
      <c r="P54" s="29" t="n">
        <v>0.188</v>
      </c>
      <c r="Q54" s="29" t="n">
        <v>0.3</v>
      </c>
      <c r="R54" s="30" t="n">
        <v>72</v>
      </c>
    </row>
    <row r="55">
      <c r="A55" t="inlineStr">
        <is>
          <t>CA</t>
        </is>
      </c>
      <c r="B55" t="n">
        <v>2020</v>
      </c>
      <c r="C55" s="21" t="n">
        <v>6711821</v>
      </c>
      <c r="D55" s="22" t="n">
        <v>28.013689772</v>
      </c>
      <c r="E55" s="15" t="n">
        <v>9875.98</v>
      </c>
      <c r="F55" s="23" t="n">
        <v>0.2576</v>
      </c>
      <c r="G55" s="23" t="n">
        <v>0.1372</v>
      </c>
      <c r="H55" s="23" t="n">
        <v>0.101</v>
      </c>
      <c r="I55" s="23" t="n">
        <v>0.0905</v>
      </c>
      <c r="J55" s="23" t="n">
        <v>0.0235</v>
      </c>
      <c r="K55" s="23" t="n">
        <v>0.06270000000000001</v>
      </c>
      <c r="L55" s="23" t="n">
        <v>0.0497</v>
      </c>
      <c r="M55" s="23" t="n">
        <v>0.041</v>
      </c>
      <c r="N55" s="21" t="n">
        <v>202.7619</v>
      </c>
      <c r="O55" s="21" t="n">
        <v>496.0015</v>
      </c>
      <c r="P55" s="23" t="n">
        <v>0.1869</v>
      </c>
      <c r="Q55" s="23" t="n">
        <v>0.2963</v>
      </c>
      <c r="R55" s="24" t="n">
        <v>72</v>
      </c>
    </row>
    <row r="56">
      <c r="A56" s="25" t="inlineStr">
        <is>
          <t>CA</t>
        </is>
      </c>
      <c r="B56" s="25" t="n">
        <v>2021</v>
      </c>
      <c r="C56" s="26" t="n">
        <v>6815373</v>
      </c>
      <c r="D56" s="27" t="n">
        <v>29.696353954</v>
      </c>
      <c r="E56" s="28" t="n">
        <v>10689.12</v>
      </c>
      <c r="F56" s="29" t="n">
        <v>0.2499</v>
      </c>
      <c r="G56" s="29" t="n">
        <v>0.148</v>
      </c>
      <c r="H56" s="29" t="n">
        <v>0.1097</v>
      </c>
      <c r="I56" s="29" t="n">
        <v>0.08119999999999999</v>
      </c>
      <c r="J56" s="29" t="n">
        <v>0.023</v>
      </c>
      <c r="K56" s="29" t="n">
        <v>0.0619</v>
      </c>
      <c r="L56" s="29" t="n">
        <v>0.0506</v>
      </c>
      <c r="M56" s="29" t="n">
        <v>0.0393</v>
      </c>
      <c r="N56" s="26" t="n">
        <v>200.8251</v>
      </c>
      <c r="O56" s="26" t="n">
        <v>516.2066</v>
      </c>
      <c r="P56" s="29" t="n">
        <v>0.1862</v>
      </c>
      <c r="Q56" s="29" t="n">
        <v>0.2988</v>
      </c>
      <c r="R56" s="30" t="n">
        <v>73</v>
      </c>
    </row>
    <row r="57">
      <c r="A57" t="inlineStr">
        <is>
          <t>CA</t>
        </is>
      </c>
      <c r="B57" t="n">
        <v>2022</v>
      </c>
      <c r="C57" s="21" t="n">
        <v>6936781</v>
      </c>
      <c r="D57" s="22" t="n">
        <v>31.053567051</v>
      </c>
      <c r="E57" s="15" t="n">
        <v>11354.83</v>
      </c>
      <c r="F57" s="23" t="n">
        <v>0.2446</v>
      </c>
      <c r="G57" s="23" t="n">
        <v>0.1493</v>
      </c>
      <c r="H57" s="23" t="n">
        <v>0.1071</v>
      </c>
      <c r="I57" s="23" t="n">
        <v>0.09329999999999999</v>
      </c>
      <c r="J57" s="23" t="n">
        <v>0.0271</v>
      </c>
      <c r="K57" s="23" t="n">
        <v>0.0618</v>
      </c>
      <c r="L57" s="23" t="n">
        <v>0.0479</v>
      </c>
      <c r="M57" s="23" t="n">
        <v>0.0379</v>
      </c>
      <c r="N57" s="21" t="n">
        <v>207.2478</v>
      </c>
      <c r="O57" s="21" t="n">
        <v>552.2301</v>
      </c>
      <c r="P57" s="23" t="n">
        <v>0.186</v>
      </c>
      <c r="Q57" s="23" t="n">
        <v>0.3027</v>
      </c>
      <c r="R57" s="24" t="n">
        <v>73</v>
      </c>
    </row>
    <row r="58">
      <c r="A58" s="25" t="inlineStr">
        <is>
          <t>CA</t>
        </is>
      </c>
      <c r="B58" s="25" t="n">
        <v>2023</v>
      </c>
      <c r="C58" s="26" t="n">
        <v>7080940</v>
      </c>
      <c r="D58" s="27" t="n">
        <v>32.529378064</v>
      </c>
      <c r="E58" s="28" t="n">
        <v>12124.53</v>
      </c>
      <c r="F58" s="29" t="n">
        <v>0.2347</v>
      </c>
      <c r="G58" s="29" t="n">
        <v>0.1516</v>
      </c>
      <c r="H58" s="29" t="n">
        <v>0.1058</v>
      </c>
      <c r="I58" s="29" t="n">
        <v>0.0854</v>
      </c>
      <c r="J58" s="29" t="n">
        <v>0.0372</v>
      </c>
      <c r="K58" s="29" t="n">
        <v>0.0634</v>
      </c>
      <c r="L58" s="29" t="n">
        <v>0.0456</v>
      </c>
      <c r="M58" s="29" t="n">
        <v>0.0388</v>
      </c>
      <c r="N58" s="26" t="n">
        <v>212.4699</v>
      </c>
      <c r="O58" s="26" t="n">
        <v>571.147</v>
      </c>
      <c r="P58" s="29" t="n">
        <v>0.1845</v>
      </c>
      <c r="Q58" s="29" t="n">
        <v>0.306</v>
      </c>
      <c r="R58" s="30" t="n">
        <v>73</v>
      </c>
    </row>
    <row r="59">
      <c r="A59" t="inlineStr">
        <is>
          <t>CA</t>
        </is>
      </c>
      <c r="B59" t="n">
        <v>2024</v>
      </c>
      <c r="C59" s="21" t="n">
        <v>7247540</v>
      </c>
      <c r="D59" s="22" t="n">
        <v>35.496049</v>
      </c>
      <c r="E59" s="15" t="n">
        <v>13253.86</v>
      </c>
      <c r="F59" s="23" t="n">
        <v>0.22</v>
      </c>
      <c r="G59" s="23" t="n">
        <v>0.1512</v>
      </c>
      <c r="H59" s="23" t="n">
        <v>0.1026</v>
      </c>
      <c r="I59" s="23" t="n">
        <v>0.0847</v>
      </c>
      <c r="J59" s="23" t="n">
        <v>0.0602</v>
      </c>
      <c r="K59" s="23" t="n">
        <v>0.0646</v>
      </c>
      <c r="L59" s="23" t="n">
        <v>0.0416</v>
      </c>
      <c r="M59" s="23" t="n">
        <v>0.0381</v>
      </c>
      <c r="N59" s="21" t="n">
        <v>217.3118</v>
      </c>
      <c r="O59" s="21" t="n">
        <v>587.2982</v>
      </c>
      <c r="P59" s="23" t="n">
        <v>0.1872</v>
      </c>
      <c r="Q59" s="23" t="n">
        <v>0.3022</v>
      </c>
      <c r="R59" s="24" t="n">
        <v>73</v>
      </c>
    </row>
    <row r="60">
      <c r="A60" s="25" t="inlineStr">
        <is>
          <t>CO</t>
        </is>
      </c>
      <c r="B60" s="25" t="n">
        <v>2014</v>
      </c>
      <c r="C60" s="26" t="n">
        <v>794491</v>
      </c>
      <c r="D60" s="27" t="n">
        <v>3.27634127</v>
      </c>
      <c r="E60" s="28" t="n">
        <v>7818.14</v>
      </c>
      <c r="F60" s="29" t="n">
        <v>0.2784</v>
      </c>
      <c r="G60" s="29" t="n">
        <v>0.1575</v>
      </c>
      <c r="H60" s="29" t="n">
        <v>0.09710000000000001</v>
      </c>
      <c r="I60" s="29" t="n">
        <v>0.08649999999999999</v>
      </c>
      <c r="J60" s="29" t="n">
        <v>0.0326</v>
      </c>
      <c r="K60" s="29" t="n">
        <v>0.044</v>
      </c>
      <c r="L60" s="29" t="n">
        <v>0.0571</v>
      </c>
      <c r="M60" s="29" t="n">
        <v>0.0357</v>
      </c>
      <c r="N60" s="26" t="n">
        <v>222.937</v>
      </c>
      <c r="O60" s="26" t="n">
        <v>619.0269</v>
      </c>
      <c r="P60" s="29" t="n">
        <v>0.1457</v>
      </c>
      <c r="Q60" s="29" t="n">
        <v>0.1715</v>
      </c>
      <c r="R60" s="30" t="n">
        <v>71</v>
      </c>
    </row>
    <row r="61">
      <c r="A61" t="inlineStr">
        <is>
          <t>CO</t>
        </is>
      </c>
      <c r="B61" t="n">
        <v>2015</v>
      </c>
      <c r="C61" s="21" t="n">
        <v>826793</v>
      </c>
      <c r="D61" s="22" t="n">
        <v>3.478272409</v>
      </c>
      <c r="E61" s="15" t="n">
        <v>8072.09</v>
      </c>
      <c r="F61" s="23" t="n">
        <v>0.2717</v>
      </c>
      <c r="G61" s="23" t="n">
        <v>0.1597</v>
      </c>
      <c r="H61" s="23" t="n">
        <v>0.0958</v>
      </c>
      <c r="I61" s="23" t="n">
        <v>0.0834</v>
      </c>
      <c r="J61" s="23" t="n">
        <v>0.0337</v>
      </c>
      <c r="K61" s="23" t="n">
        <v>0.045</v>
      </c>
      <c r="L61" s="23" t="n">
        <v>0.0568</v>
      </c>
      <c r="M61" s="23" t="n">
        <v>0.0354</v>
      </c>
      <c r="N61" s="21" t="n">
        <v>219.7628</v>
      </c>
      <c r="O61" s="21" t="n">
        <v>620.3280999999999</v>
      </c>
      <c r="P61" s="23" t="n">
        <v>0.1459</v>
      </c>
      <c r="Q61" s="23" t="n">
        <v>0.1739</v>
      </c>
      <c r="R61" s="24" t="n">
        <v>71</v>
      </c>
    </row>
    <row r="62">
      <c r="A62" s="25" t="inlineStr">
        <is>
          <t>CO</t>
        </is>
      </c>
      <c r="B62" s="25" t="n">
        <v>2016</v>
      </c>
      <c r="C62" s="26" t="n">
        <v>857579</v>
      </c>
      <c r="D62" s="27" t="n">
        <v>3.649539214</v>
      </c>
      <c r="E62" s="28" t="n">
        <v>8158.13</v>
      </c>
      <c r="F62" s="29" t="n">
        <v>0.2725</v>
      </c>
      <c r="G62" s="29" t="n">
        <v>0.1704</v>
      </c>
      <c r="H62" s="29" t="n">
        <v>0.093</v>
      </c>
      <c r="I62" s="29" t="n">
        <v>0.0771</v>
      </c>
      <c r="J62" s="29" t="n">
        <v>0.0279</v>
      </c>
      <c r="K62" s="29" t="n">
        <v>0.0443</v>
      </c>
      <c r="L62" s="29" t="n">
        <v>0.0571</v>
      </c>
      <c r="M62" s="29" t="n">
        <v>0.0374</v>
      </c>
      <c r="N62" s="26" t="n">
        <v>214.9592</v>
      </c>
      <c r="O62" s="26" t="n">
        <v>616.1328</v>
      </c>
      <c r="P62" s="29" t="n">
        <v>0.1452</v>
      </c>
      <c r="Q62" s="29" t="n">
        <v>0.1745</v>
      </c>
      <c r="R62" s="30" t="n">
        <v>71</v>
      </c>
    </row>
    <row r="63">
      <c r="A63" t="inlineStr">
        <is>
          <t>CO</t>
        </is>
      </c>
      <c r="B63" t="n">
        <v>2017</v>
      </c>
      <c r="C63" s="21" t="n">
        <v>888933</v>
      </c>
      <c r="D63" s="22" t="n">
        <v>3.843607695</v>
      </c>
      <c r="E63" s="15" t="n">
        <v>8415.9</v>
      </c>
      <c r="F63" s="23" t="n">
        <v>0.2723</v>
      </c>
      <c r="G63" s="23" t="n">
        <v>0.1809</v>
      </c>
      <c r="H63" s="23" t="n">
        <v>0.0927</v>
      </c>
      <c r="I63" s="23" t="n">
        <v>0.07340000000000001</v>
      </c>
      <c r="J63" s="23" t="n">
        <v>0.0252</v>
      </c>
      <c r="K63" s="23" t="n">
        <v>0.0417</v>
      </c>
      <c r="L63" s="23" t="n">
        <v>0.0566</v>
      </c>
      <c r="M63" s="23" t="n">
        <v>0.0371</v>
      </c>
      <c r="N63" s="21" t="n">
        <v>214.4149</v>
      </c>
      <c r="O63" s="21" t="n">
        <v>605.0649</v>
      </c>
      <c r="P63" s="23" t="n">
        <v>0.1452</v>
      </c>
      <c r="Q63" s="23" t="n">
        <v>0.1685</v>
      </c>
      <c r="R63" s="24" t="n">
        <v>71</v>
      </c>
    </row>
    <row r="64">
      <c r="A64" s="25" t="inlineStr">
        <is>
          <t>CO</t>
        </is>
      </c>
      <c r="B64" s="25" t="n">
        <v>2018</v>
      </c>
      <c r="C64" s="26" t="n">
        <v>924433</v>
      </c>
      <c r="D64" s="27" t="n">
        <v>4.126222468</v>
      </c>
      <c r="E64" s="28" t="n">
        <v>8762.620000000001</v>
      </c>
      <c r="F64" s="29" t="n">
        <v>0.2608</v>
      </c>
      <c r="G64" s="29" t="n">
        <v>0.1943</v>
      </c>
      <c r="H64" s="29" t="n">
        <v>0.0915</v>
      </c>
      <c r="I64" s="29" t="n">
        <v>0.07149999999999999</v>
      </c>
      <c r="J64" s="29" t="n">
        <v>0.0259</v>
      </c>
      <c r="K64" s="29" t="n">
        <v>0.0407</v>
      </c>
      <c r="L64" s="29" t="n">
        <v>0.0562</v>
      </c>
      <c r="M64" s="29" t="n">
        <v>0.0373</v>
      </c>
      <c r="N64" s="26" t="n">
        <v>207.5861</v>
      </c>
      <c r="O64" s="26" t="n">
        <v>584.8406</v>
      </c>
      <c r="P64" s="29" t="n">
        <v>0.1442</v>
      </c>
      <c r="Q64" s="29" t="n">
        <v>0.1589</v>
      </c>
      <c r="R64" s="30" t="n">
        <v>71</v>
      </c>
    </row>
    <row r="65">
      <c r="A65" t="inlineStr">
        <is>
          <t>CO</t>
        </is>
      </c>
      <c r="B65" t="n">
        <v>2019</v>
      </c>
      <c r="C65" s="21" t="n">
        <v>955018</v>
      </c>
      <c r="D65" s="22" t="n">
        <v>4.075180162</v>
      </c>
      <c r="E65" s="15" t="n">
        <v>9035.200000000001</v>
      </c>
      <c r="F65" s="23" t="n">
        <v>0.2568</v>
      </c>
      <c r="G65" s="23" t="n">
        <v>0.2015</v>
      </c>
      <c r="H65" s="23" t="n">
        <v>0.09</v>
      </c>
      <c r="I65" s="23" t="n">
        <v>0.0675</v>
      </c>
      <c r="J65" s="23" t="n">
        <v>0.0253</v>
      </c>
      <c r="K65" s="23" t="n">
        <v>0.038</v>
      </c>
      <c r="L65" s="23" t="n">
        <v>0.0562</v>
      </c>
      <c r="M65" s="23" t="n">
        <v>0.0376</v>
      </c>
      <c r="N65" s="21" t="n">
        <v>202.4947</v>
      </c>
      <c r="O65" s="21" t="n">
        <v>580.2002</v>
      </c>
      <c r="P65" s="23" t="n">
        <v>0.1461</v>
      </c>
      <c r="Q65" s="23" t="n">
        <v>0.1612</v>
      </c>
      <c r="R65" s="24" t="n">
        <v>71</v>
      </c>
    </row>
    <row r="66">
      <c r="A66" s="25" t="inlineStr">
        <is>
          <t>CO</t>
        </is>
      </c>
      <c r="B66" s="25" t="n">
        <v>2020</v>
      </c>
      <c r="C66" s="26" t="n">
        <v>984092</v>
      </c>
      <c r="D66" s="27" t="n">
        <v>3.841094269</v>
      </c>
      <c r="E66" s="28" t="n">
        <v>8588.17</v>
      </c>
      <c r="F66" s="29" t="n">
        <v>0.247</v>
      </c>
      <c r="G66" s="29" t="n">
        <v>0.2061</v>
      </c>
      <c r="H66" s="29" t="n">
        <v>0.0871</v>
      </c>
      <c r="I66" s="29" t="n">
        <v>0.0711</v>
      </c>
      <c r="J66" s="29" t="n">
        <v>0.0311</v>
      </c>
      <c r="K66" s="29" t="n">
        <v>0.035</v>
      </c>
      <c r="L66" s="29" t="n">
        <v>0.0532</v>
      </c>
      <c r="M66" s="29" t="n">
        <v>0.0406</v>
      </c>
      <c r="N66" s="26" t="n">
        <v>170.5407</v>
      </c>
      <c r="O66" s="26" t="n">
        <v>469.8918</v>
      </c>
      <c r="P66" s="29" t="n">
        <v>0.1467</v>
      </c>
      <c r="Q66" s="29" t="n">
        <v>0.1472</v>
      </c>
      <c r="R66" s="30" t="n">
        <v>72</v>
      </c>
    </row>
    <row r="67">
      <c r="A67" t="inlineStr">
        <is>
          <t>CO</t>
        </is>
      </c>
      <c r="B67" t="n">
        <v>2021</v>
      </c>
      <c r="C67" s="21" t="n">
        <v>1006598</v>
      </c>
      <c r="D67" s="22" t="n">
        <v>4.150853329</v>
      </c>
      <c r="E67" s="15" t="n">
        <v>9470.02</v>
      </c>
      <c r="F67" s="23" t="n">
        <v>0.2374</v>
      </c>
      <c r="G67" s="23" t="n">
        <v>0.2185</v>
      </c>
      <c r="H67" s="23" t="n">
        <v>0.0956</v>
      </c>
      <c r="I67" s="23" t="n">
        <v>0.0636</v>
      </c>
      <c r="J67" s="23" t="n">
        <v>0.0332</v>
      </c>
      <c r="K67" s="23" t="n">
        <v>0.0326</v>
      </c>
      <c r="L67" s="23" t="n">
        <v>0.053</v>
      </c>
      <c r="M67" s="23" t="n">
        <v>0.0372</v>
      </c>
      <c r="N67" s="21" t="n">
        <v>167.2998</v>
      </c>
      <c r="O67" s="21" t="n">
        <v>512.0404</v>
      </c>
      <c r="P67" s="23" t="n">
        <v>0.1501</v>
      </c>
      <c r="Q67" s="23" t="n">
        <v>0.1491</v>
      </c>
      <c r="R67" s="24" t="n">
        <v>72</v>
      </c>
    </row>
    <row r="68">
      <c r="A68" s="25" t="inlineStr">
        <is>
          <t>CO</t>
        </is>
      </c>
      <c r="B68" s="25" t="n">
        <v>2022</v>
      </c>
      <c r="C68" s="26" t="n">
        <v>1030117</v>
      </c>
      <c r="D68" s="27" t="n">
        <v>4.161556447</v>
      </c>
      <c r="E68" s="28" t="n">
        <v>9808.51</v>
      </c>
      <c r="F68" s="29" t="n">
        <v>0.2265</v>
      </c>
      <c r="G68" s="29" t="n">
        <v>0.2226</v>
      </c>
      <c r="H68" s="29" t="n">
        <v>0.09329999999999999</v>
      </c>
      <c r="I68" s="29" t="n">
        <v>0.0672</v>
      </c>
      <c r="J68" s="29" t="n">
        <v>0.0363</v>
      </c>
      <c r="K68" s="29" t="n">
        <v>0.0312</v>
      </c>
      <c r="L68" s="29" t="n">
        <v>0.0529</v>
      </c>
      <c r="M68" s="29" t="n">
        <v>0.0369</v>
      </c>
      <c r="N68" s="26" t="n">
        <v>168.5632</v>
      </c>
      <c r="O68" s="26" t="n">
        <v>535.1655</v>
      </c>
      <c r="P68" s="29" t="n">
        <v>0.1508</v>
      </c>
      <c r="Q68" s="29" t="n">
        <v>0.1396</v>
      </c>
      <c r="R68" s="30" t="n">
        <v>72</v>
      </c>
    </row>
    <row r="69">
      <c r="A69" t="inlineStr">
        <is>
          <t>CO</t>
        </is>
      </c>
      <c r="B69" t="n">
        <v>2023</v>
      </c>
      <c r="C69" s="21" t="n">
        <v>1055744</v>
      </c>
      <c r="D69" s="22" t="n">
        <v>4.391536848</v>
      </c>
      <c r="E69" s="15" t="n">
        <v>10671.45</v>
      </c>
      <c r="F69" s="23" t="n">
        <v>0.2104</v>
      </c>
      <c r="G69" s="23" t="n">
        <v>0.2261</v>
      </c>
      <c r="H69" s="23" t="n">
        <v>0.0901</v>
      </c>
      <c r="I69" s="23" t="n">
        <v>0.0602</v>
      </c>
      <c r="J69" s="23" t="n">
        <v>0.0593</v>
      </c>
      <c r="K69" s="23" t="n">
        <v>0.0279</v>
      </c>
      <c r="L69" s="23" t="n">
        <v>0.0502</v>
      </c>
      <c r="M69" s="23" t="n">
        <v>0.0374</v>
      </c>
      <c r="N69" s="21" t="n">
        <v>169.1453</v>
      </c>
      <c r="O69" s="21" t="n">
        <v>533.1647</v>
      </c>
      <c r="P69" s="23" t="n">
        <v>0.1499</v>
      </c>
      <c r="Q69" s="23" t="n">
        <v>0.1309</v>
      </c>
      <c r="R69" s="24" t="n">
        <v>73</v>
      </c>
    </row>
    <row r="70">
      <c r="A70" s="25" t="inlineStr">
        <is>
          <t>CO</t>
        </is>
      </c>
      <c r="B70" s="25" t="n">
        <v>2024</v>
      </c>
      <c r="C70" s="26" t="n">
        <v>1083118</v>
      </c>
      <c r="D70" s="27" t="n">
        <v>4.580398393</v>
      </c>
      <c r="E70" s="28" t="n">
        <v>11282.44</v>
      </c>
      <c r="F70" s="29" t="n">
        <v>0.2005</v>
      </c>
      <c r="G70" s="29" t="n">
        <v>0.2338</v>
      </c>
      <c r="H70" s="29" t="n">
        <v>0.0898</v>
      </c>
      <c r="I70" s="29" t="n">
        <v>0.053</v>
      </c>
      <c r="J70" s="29" t="n">
        <v>0.0534</v>
      </c>
      <c r="K70" s="29" t="n">
        <v>0.0263</v>
      </c>
      <c r="L70" s="29" t="n">
        <v>0.0482</v>
      </c>
      <c r="M70" s="29" t="n">
        <v>0.0379</v>
      </c>
      <c r="N70" s="26" t="n">
        <v>164.9654</v>
      </c>
      <c r="O70" s="26" t="n">
        <v>530.5782</v>
      </c>
      <c r="P70" s="29" t="n">
        <v>0.1507</v>
      </c>
      <c r="Q70" s="29" t="n">
        <v>0.1097</v>
      </c>
      <c r="R70" s="30" t="n">
        <v>73</v>
      </c>
    </row>
    <row r="71">
      <c r="A71" t="inlineStr">
        <is>
          <t>CT</t>
        </is>
      </c>
      <c r="B71" t="n">
        <v>2014</v>
      </c>
      <c r="C71" s="21" t="n">
        <v>650756</v>
      </c>
      <c r="D71" s="22" t="n">
        <v>3.862029707</v>
      </c>
      <c r="E71" s="15" t="n">
        <v>9322.469999999999</v>
      </c>
      <c r="F71" s="23" t="n">
        <v>0.2872</v>
      </c>
      <c r="G71" s="23" t="n">
        <v>0.1435</v>
      </c>
      <c r="H71" s="23" t="n">
        <v>0.1196</v>
      </c>
      <c r="I71" s="23" t="n">
        <v>0.1133</v>
      </c>
      <c r="J71" s="23" t="n">
        <v>0.02</v>
      </c>
      <c r="K71" s="23" t="n">
        <v>0.0561</v>
      </c>
      <c r="L71" s="23" t="n">
        <v>0.0504</v>
      </c>
      <c r="M71" s="23" t="n">
        <v>0.0255</v>
      </c>
      <c r="N71" s="21" t="n">
        <v>298.5365</v>
      </c>
      <c r="O71" s="21" t="n">
        <v>736.4358</v>
      </c>
      <c r="P71" s="23" t="n">
        <v>0.1822</v>
      </c>
      <c r="Q71" s="23" t="n">
        <v>0.276</v>
      </c>
      <c r="R71" s="24" t="n">
        <v>73</v>
      </c>
    </row>
    <row r="72">
      <c r="A72" s="25" t="inlineStr">
        <is>
          <t>CT</t>
        </is>
      </c>
      <c r="B72" s="25" t="n">
        <v>2015</v>
      </c>
      <c r="C72" s="26" t="n">
        <v>661709</v>
      </c>
      <c r="D72" s="27" t="n">
        <v>3.991316423</v>
      </c>
      <c r="E72" s="28" t="n">
        <v>9684.82</v>
      </c>
      <c r="F72" s="29" t="n">
        <v>0.2804</v>
      </c>
      <c r="G72" s="29" t="n">
        <v>0.1504</v>
      </c>
      <c r="H72" s="29" t="n">
        <v>0.1173</v>
      </c>
      <c r="I72" s="29" t="n">
        <v>0.1109</v>
      </c>
      <c r="J72" s="29" t="n">
        <v>0.021</v>
      </c>
      <c r="K72" s="29" t="n">
        <v>0.0595</v>
      </c>
      <c r="L72" s="29" t="n">
        <v>0.0493</v>
      </c>
      <c r="M72" s="29" t="n">
        <v>0.0253</v>
      </c>
      <c r="N72" s="26" t="n">
        <v>294.9935</v>
      </c>
      <c r="O72" s="26" t="n">
        <v>749.2775</v>
      </c>
      <c r="P72" s="29" t="n">
        <v>0.1825</v>
      </c>
      <c r="Q72" s="29" t="n">
        <v>0.2779</v>
      </c>
      <c r="R72" s="30" t="n">
        <v>73</v>
      </c>
    </row>
    <row r="73">
      <c r="A73" t="inlineStr">
        <is>
          <t>CT</t>
        </is>
      </c>
      <c r="B73" t="n">
        <v>2016</v>
      </c>
      <c r="C73" s="21" t="n">
        <v>672511</v>
      </c>
      <c r="D73" s="22" t="n">
        <v>4.016047735</v>
      </c>
      <c r="E73" s="15" t="n">
        <v>9733.02</v>
      </c>
      <c r="F73" s="23" t="n">
        <v>0.2798</v>
      </c>
      <c r="G73" s="23" t="n">
        <v>0.1577</v>
      </c>
      <c r="H73" s="23" t="n">
        <v>0.1149</v>
      </c>
      <c r="I73" s="23" t="n">
        <v>0.1019</v>
      </c>
      <c r="J73" s="23" t="n">
        <v>0.018</v>
      </c>
      <c r="K73" s="23" t="n">
        <v>0.0626</v>
      </c>
      <c r="L73" s="23" t="n">
        <v>0.0494</v>
      </c>
      <c r="M73" s="23" t="n">
        <v>0.0262</v>
      </c>
      <c r="N73" s="21" t="n">
        <v>288.5651</v>
      </c>
      <c r="O73" s="21" t="n">
        <v>743.4109999999999</v>
      </c>
      <c r="P73" s="23" t="n">
        <v>0.1829</v>
      </c>
      <c r="Q73" s="23" t="n">
        <v>0.2735</v>
      </c>
      <c r="R73" s="24" t="n">
        <v>73</v>
      </c>
    </row>
    <row r="74">
      <c r="A74" s="25" t="inlineStr">
        <is>
          <t>CT</t>
        </is>
      </c>
      <c r="B74" s="25" t="n">
        <v>2017</v>
      </c>
      <c r="C74" s="26" t="n">
        <v>685365</v>
      </c>
      <c r="D74" s="27" t="n">
        <v>4.075174041</v>
      </c>
      <c r="E74" s="28" t="n">
        <v>9963.870000000001</v>
      </c>
      <c r="F74" s="29" t="n">
        <v>0.28</v>
      </c>
      <c r="G74" s="29" t="n">
        <v>0.1632</v>
      </c>
      <c r="H74" s="29" t="n">
        <v>0.115</v>
      </c>
      <c r="I74" s="29" t="n">
        <v>0.09619999999999999</v>
      </c>
      <c r="J74" s="29" t="n">
        <v>0.0162</v>
      </c>
      <c r="K74" s="29" t="n">
        <v>0.064</v>
      </c>
      <c r="L74" s="29" t="n">
        <v>0.0492</v>
      </c>
      <c r="M74" s="29" t="n">
        <v>0.0271</v>
      </c>
      <c r="N74" s="26" t="n">
        <v>286.4901</v>
      </c>
      <c r="O74" s="26" t="n">
        <v>739.4906999999999</v>
      </c>
      <c r="P74" s="29" t="n">
        <v>0.1819</v>
      </c>
      <c r="Q74" s="29" t="n">
        <v>0.2681</v>
      </c>
      <c r="R74" s="30" t="n">
        <v>73</v>
      </c>
    </row>
    <row r="75">
      <c r="A75" t="inlineStr">
        <is>
          <t>CT</t>
        </is>
      </c>
      <c r="B75" t="n">
        <v>2018</v>
      </c>
      <c r="C75" s="21" t="n">
        <v>699720</v>
      </c>
      <c r="D75" s="22" t="n">
        <v>3.745413636</v>
      </c>
      <c r="E75" s="15" t="n">
        <v>10709.66</v>
      </c>
      <c r="F75" s="23" t="n">
        <v>0.2777</v>
      </c>
      <c r="G75" s="23" t="n">
        <v>0.1767</v>
      </c>
      <c r="H75" s="23" t="n">
        <v>0.1114</v>
      </c>
      <c r="I75" s="23" t="n">
        <v>0.0912</v>
      </c>
      <c r="J75" s="23" t="n">
        <v>0.0166</v>
      </c>
      <c r="K75" s="23" t="n">
        <v>0.0609</v>
      </c>
      <c r="L75" s="23" t="n">
        <v>0.047</v>
      </c>
      <c r="M75" s="23" t="n">
        <v>0.0268</v>
      </c>
      <c r="N75" s="21" t="n">
        <v>295.9456</v>
      </c>
      <c r="O75" s="21" t="n">
        <v>773.0833</v>
      </c>
      <c r="P75" s="23" t="n">
        <v>0.188</v>
      </c>
      <c r="Q75" s="23" t="n">
        <v>0.2998</v>
      </c>
      <c r="R75" s="24" t="n">
        <v>73</v>
      </c>
    </row>
    <row r="76">
      <c r="A76" s="25" t="inlineStr">
        <is>
          <t>CT</t>
        </is>
      </c>
      <c r="B76" s="25" t="n">
        <v>2019</v>
      </c>
      <c r="C76" s="26" t="n">
        <v>713025</v>
      </c>
      <c r="D76" s="27" t="n">
        <v>3.710235382</v>
      </c>
      <c r="E76" s="28" t="n">
        <v>11165.18</v>
      </c>
      <c r="F76" s="29" t="n">
        <v>0.2771</v>
      </c>
      <c r="G76" s="29" t="n">
        <v>0.1817</v>
      </c>
      <c r="H76" s="29" t="n">
        <v>0.1106</v>
      </c>
      <c r="I76" s="29" t="n">
        <v>0.0883</v>
      </c>
      <c r="J76" s="29" t="n">
        <v>0.0169</v>
      </c>
      <c r="K76" s="29" t="n">
        <v>0.0581</v>
      </c>
      <c r="L76" s="29" t="n">
        <v>0.0472</v>
      </c>
      <c r="M76" s="29" t="n">
        <v>0.0287</v>
      </c>
      <c r="N76" s="26" t="n">
        <v>294.056</v>
      </c>
      <c r="O76" s="26" t="n">
        <v>765.9372</v>
      </c>
      <c r="P76" s="29" t="n">
        <v>0.1852</v>
      </c>
      <c r="Q76" s="29" t="n">
        <v>0.2974</v>
      </c>
      <c r="R76" s="30" t="n">
        <v>73</v>
      </c>
    </row>
    <row r="77">
      <c r="A77" t="inlineStr">
        <is>
          <t>CT</t>
        </is>
      </c>
      <c r="B77" t="n">
        <v>2020</v>
      </c>
      <c r="C77" s="21" t="n">
        <v>726542</v>
      </c>
      <c r="D77" s="22" t="n">
        <v>3.383179865</v>
      </c>
      <c r="E77" s="15" t="n">
        <v>10674.44</v>
      </c>
      <c r="F77" s="23" t="n">
        <v>0.2749</v>
      </c>
      <c r="G77" s="23" t="n">
        <v>0.1776</v>
      </c>
      <c r="H77" s="23" t="n">
        <v>0.1047</v>
      </c>
      <c r="I77" s="23" t="n">
        <v>0.1082</v>
      </c>
      <c r="J77" s="23" t="n">
        <v>0.0184</v>
      </c>
      <c r="K77" s="23" t="n">
        <v>0.0572</v>
      </c>
      <c r="L77" s="23" t="n">
        <v>0.0414</v>
      </c>
      <c r="M77" s="23" t="n">
        <v>0.0308</v>
      </c>
      <c r="N77" s="21" t="n">
        <v>252.9422</v>
      </c>
      <c r="O77" s="21" t="n">
        <v>607.4834</v>
      </c>
      <c r="P77" s="23" t="n">
        <v>0.1863</v>
      </c>
      <c r="Q77" s="23" t="n">
        <v>0.2868</v>
      </c>
      <c r="R77" s="24" t="n">
        <v>73</v>
      </c>
    </row>
    <row r="78">
      <c r="A78" s="25" t="inlineStr">
        <is>
          <t>CT</t>
        </is>
      </c>
      <c r="B78" s="25" t="n">
        <v>2021</v>
      </c>
      <c r="C78" s="26" t="n">
        <v>735267</v>
      </c>
      <c r="D78" s="27" t="n">
        <v>3.449879285</v>
      </c>
      <c r="E78" s="28" t="n">
        <v>11579.81</v>
      </c>
      <c r="F78" s="29" t="n">
        <v>0.2641</v>
      </c>
      <c r="G78" s="29" t="n">
        <v>0.1943</v>
      </c>
      <c r="H78" s="29" t="n">
        <v>0.1156</v>
      </c>
      <c r="I78" s="29" t="n">
        <v>0.09619999999999999</v>
      </c>
      <c r="J78" s="29" t="n">
        <v>0.0182</v>
      </c>
      <c r="K78" s="29" t="n">
        <v>0.0538</v>
      </c>
      <c r="L78" s="29" t="n">
        <v>0.0432</v>
      </c>
      <c r="M78" s="29" t="n">
        <v>0.0287</v>
      </c>
      <c r="N78" s="26" t="n">
        <v>250.2836</v>
      </c>
      <c r="O78" s="26" t="n">
        <v>661.3442</v>
      </c>
      <c r="P78" s="29" t="n">
        <v>0.186</v>
      </c>
      <c r="Q78" s="29" t="n">
        <v>0.271</v>
      </c>
      <c r="R78" s="30" t="n">
        <v>73</v>
      </c>
    </row>
    <row r="79">
      <c r="A79" t="inlineStr">
        <is>
          <t>CT</t>
        </is>
      </c>
      <c r="B79" t="n">
        <v>2022</v>
      </c>
      <c r="C79" s="21" t="n">
        <v>740388</v>
      </c>
      <c r="D79" s="22" t="n">
        <v>3.33654684</v>
      </c>
      <c r="E79" s="15" t="n">
        <v>12020.39</v>
      </c>
      <c r="F79" s="23" t="n">
        <v>0.261</v>
      </c>
      <c r="G79" s="23" t="n">
        <v>0.2044</v>
      </c>
      <c r="H79" s="23" t="n">
        <v>0.1108</v>
      </c>
      <c r="I79" s="23" t="n">
        <v>0.1022</v>
      </c>
      <c r="J79" s="23" t="n">
        <v>0.0202</v>
      </c>
      <c r="K79" s="23" t="n">
        <v>0.0511</v>
      </c>
      <c r="L79" s="23" t="n">
        <v>0.042</v>
      </c>
      <c r="M79" s="23" t="n">
        <v>0.0277</v>
      </c>
      <c r="N79" s="21" t="n">
        <v>247.9699</v>
      </c>
      <c r="O79" s="21" t="n">
        <v>687.2474</v>
      </c>
      <c r="P79" s="23" t="n">
        <v>0.1878</v>
      </c>
      <c r="Q79" s="23" t="n">
        <v>0.2604</v>
      </c>
      <c r="R79" s="24" t="n">
        <v>74</v>
      </c>
    </row>
    <row r="80">
      <c r="A80" s="25" t="inlineStr">
        <is>
          <t>CT</t>
        </is>
      </c>
      <c r="B80" s="25" t="n">
        <v>2023</v>
      </c>
      <c r="C80" s="26" t="n">
        <v>757873</v>
      </c>
      <c r="D80" s="27" t="n">
        <v>3.293607641</v>
      </c>
      <c r="E80" s="28" t="n">
        <v>12479.9</v>
      </c>
      <c r="F80" s="29" t="n">
        <v>0.25</v>
      </c>
      <c r="G80" s="29" t="n">
        <v>0.2133</v>
      </c>
      <c r="H80" s="29" t="n">
        <v>0.1093</v>
      </c>
      <c r="I80" s="29" t="n">
        <v>0.08939999999999999</v>
      </c>
      <c r="J80" s="29" t="n">
        <v>0.0306</v>
      </c>
      <c r="K80" s="29" t="n">
        <v>0.0496</v>
      </c>
      <c r="L80" s="29" t="n">
        <v>0.0416</v>
      </c>
      <c r="M80" s="29" t="n">
        <v>0.0273</v>
      </c>
      <c r="N80" s="26" t="n">
        <v>250.7266</v>
      </c>
      <c r="O80" s="26" t="n">
        <v>698.3817</v>
      </c>
      <c r="P80" s="29" t="n">
        <v>0.186</v>
      </c>
      <c r="Q80" s="29" t="n">
        <v>0.2486</v>
      </c>
      <c r="R80" s="30" t="n">
        <v>74</v>
      </c>
    </row>
    <row r="81">
      <c r="A81" t="inlineStr">
        <is>
          <t>CT</t>
        </is>
      </c>
      <c r="B81" t="n">
        <v>2024</v>
      </c>
      <c r="C81" s="21" t="n">
        <v>777123</v>
      </c>
      <c r="D81" s="22" t="n">
        <v>3.319727827</v>
      </c>
      <c r="E81" s="15" t="n">
        <v>13006.35</v>
      </c>
      <c r="F81" s="23" t="n">
        <v>0.2466</v>
      </c>
      <c r="G81" s="23" t="n">
        <v>0.2232</v>
      </c>
      <c r="H81" s="23" t="n">
        <v>0.108</v>
      </c>
      <c r="I81" s="23" t="n">
        <v>0.0856</v>
      </c>
      <c r="J81" s="23" t="n">
        <v>0.0298</v>
      </c>
      <c r="K81" s="23" t="n">
        <v>0.0481</v>
      </c>
      <c r="L81" s="23" t="n">
        <v>0.0399</v>
      </c>
      <c r="M81" s="23" t="n">
        <v>0.0281</v>
      </c>
      <c r="N81" s="21" t="n">
        <v>251.1763</v>
      </c>
      <c r="O81" s="21" t="n">
        <v>696.2298</v>
      </c>
      <c r="P81" s="23" t="n">
        <v>0.1871</v>
      </c>
      <c r="Q81" s="23" t="n">
        <v>0.2319</v>
      </c>
      <c r="R81" s="24" t="n">
        <v>74</v>
      </c>
    </row>
    <row r="82">
      <c r="A82" s="25" t="inlineStr">
        <is>
          <t>DC</t>
        </is>
      </c>
      <c r="B82" s="25" t="n">
        <v>2014</v>
      </c>
      <c r="C82" s="26" t="n">
        <v>90589</v>
      </c>
      <c r="D82" s="27" t="n">
        <v>0.582357755</v>
      </c>
      <c r="E82" s="28" t="n">
        <v>9673.07</v>
      </c>
      <c r="F82" s="29" t="n">
        <v>0.3275</v>
      </c>
      <c r="G82" s="29" t="n">
        <v>0.1216</v>
      </c>
      <c r="H82" s="29" t="n">
        <v>0.1029</v>
      </c>
      <c r="I82" s="29" t="n">
        <v>0.09669999999999999</v>
      </c>
      <c r="J82" s="29" t="n">
        <v>0.0184</v>
      </c>
      <c r="K82" s="29" t="n">
        <v>0.0341</v>
      </c>
      <c r="L82" s="29" t="n">
        <v>0.047</v>
      </c>
      <c r="M82" s="29" t="n">
        <v>0.0273</v>
      </c>
      <c r="N82" s="26" t="n">
        <v>335.3764</v>
      </c>
      <c r="O82" s="26" t="n">
        <v>933.1938</v>
      </c>
      <c r="P82" s="29" t="n">
        <v>0.2243</v>
      </c>
      <c r="Q82" s="29" t="n">
        <v>0.4174</v>
      </c>
      <c r="R82" s="30" t="n">
        <v>71</v>
      </c>
    </row>
    <row r="83">
      <c r="A83" t="inlineStr">
        <is>
          <t>DC</t>
        </is>
      </c>
      <c r="B83" t="n">
        <v>2015</v>
      </c>
      <c r="C83" s="21" t="n">
        <v>92585</v>
      </c>
      <c r="D83" s="22" t="n">
        <v>0.5944725320000001</v>
      </c>
      <c r="E83" s="15" t="n">
        <v>9881.52</v>
      </c>
      <c r="F83" s="23" t="n">
        <v>0.3123</v>
      </c>
      <c r="G83" s="23" t="n">
        <v>0.1297</v>
      </c>
      <c r="H83" s="23" t="n">
        <v>0.1043</v>
      </c>
      <c r="I83" s="23" t="n">
        <v>0.1018</v>
      </c>
      <c r="J83" s="23" t="n">
        <v>0.0192</v>
      </c>
      <c r="K83" s="23" t="n">
        <v>0.0311</v>
      </c>
      <c r="L83" s="23" t="n">
        <v>0.0454</v>
      </c>
      <c r="M83" s="23" t="n">
        <v>0.0252</v>
      </c>
      <c r="N83" s="21" t="n">
        <v>323.6868</v>
      </c>
      <c r="O83" s="21" t="n">
        <v>938.7301</v>
      </c>
      <c r="P83" s="23" t="n">
        <v>0.2155</v>
      </c>
      <c r="Q83" s="23" t="n">
        <v>0.4157</v>
      </c>
      <c r="R83" s="24" t="n">
        <v>71</v>
      </c>
    </row>
    <row r="84">
      <c r="A84" s="25" t="inlineStr">
        <is>
          <t>DC</t>
        </is>
      </c>
      <c r="B84" s="25" t="n">
        <v>2016</v>
      </c>
      <c r="C84" s="26" t="n">
        <v>94123</v>
      </c>
      <c r="D84" s="27" t="n">
        <v>0.602439478</v>
      </c>
      <c r="E84" s="28" t="n">
        <v>10079.3</v>
      </c>
      <c r="F84" s="29" t="n">
        <v>0.3239</v>
      </c>
      <c r="G84" s="29" t="n">
        <v>0.1266</v>
      </c>
      <c r="H84" s="29" t="n">
        <v>0.1041</v>
      </c>
      <c r="I84" s="29" t="n">
        <v>0.0985</v>
      </c>
      <c r="J84" s="29" t="n">
        <v>0.0162</v>
      </c>
      <c r="K84" s="29" t="n">
        <v>0.0306</v>
      </c>
      <c r="L84" s="29" t="n">
        <v>0.0464</v>
      </c>
      <c r="M84" s="29" t="n">
        <v>0.0234</v>
      </c>
      <c r="N84" s="26" t="n">
        <v>316.3293</v>
      </c>
      <c r="O84" s="26" t="n">
        <v>917.8518</v>
      </c>
      <c r="P84" s="29" t="n">
        <v>0.2234</v>
      </c>
      <c r="Q84" s="29" t="n">
        <v>0.4098</v>
      </c>
      <c r="R84" s="30" t="n">
        <v>71</v>
      </c>
    </row>
    <row r="85">
      <c r="A85" t="inlineStr">
        <is>
          <t>DC</t>
        </is>
      </c>
      <c r="B85" t="n">
        <v>2017</v>
      </c>
      <c r="C85" s="21" t="n">
        <v>95415</v>
      </c>
      <c r="D85" s="22" t="n">
        <v>0.615461878</v>
      </c>
      <c r="E85" s="15" t="n">
        <v>10295.79</v>
      </c>
      <c r="F85" s="23" t="n">
        <v>0.3194</v>
      </c>
      <c r="G85" s="23" t="n">
        <v>0.1295</v>
      </c>
      <c r="H85" s="23" t="n">
        <v>0.1056</v>
      </c>
      <c r="I85" s="23" t="n">
        <v>0.0925</v>
      </c>
      <c r="J85" s="23" t="n">
        <v>0.0164</v>
      </c>
      <c r="K85" s="23" t="n">
        <v>0.0306</v>
      </c>
      <c r="L85" s="23" t="n">
        <v>0.0454</v>
      </c>
      <c r="M85" s="23" t="n">
        <v>0.0266</v>
      </c>
      <c r="N85" s="21" t="n">
        <v>303.6736</v>
      </c>
      <c r="O85" s="21" t="n">
        <v>927.1973</v>
      </c>
      <c r="P85" s="23" t="n">
        <v>0.2306</v>
      </c>
      <c r="Q85" s="23" t="n">
        <v>0.414</v>
      </c>
      <c r="R85" s="24" t="n">
        <v>71</v>
      </c>
    </row>
    <row r="86">
      <c r="A86" s="25" t="inlineStr">
        <is>
          <t>DC</t>
        </is>
      </c>
      <c r="B86" s="25" t="n">
        <v>2018</v>
      </c>
      <c r="C86" s="26" t="n">
        <v>97088</v>
      </c>
      <c r="D86" s="27" t="n">
        <v>0.618303859</v>
      </c>
      <c r="E86" s="28" t="n">
        <v>10373.01</v>
      </c>
      <c r="F86" s="29" t="n">
        <v>0.2967</v>
      </c>
      <c r="G86" s="29" t="n">
        <v>0.1447</v>
      </c>
      <c r="H86" s="29" t="n">
        <v>0.1062</v>
      </c>
      <c r="I86" s="29" t="n">
        <v>0.08599999999999999</v>
      </c>
      <c r="J86" s="29" t="n">
        <v>0.0196</v>
      </c>
      <c r="K86" s="29" t="n">
        <v>0.0308</v>
      </c>
      <c r="L86" s="29" t="n">
        <v>0.0463</v>
      </c>
      <c r="M86" s="29" t="n">
        <v>0.0268</v>
      </c>
      <c r="N86" s="26" t="n">
        <v>285.4363</v>
      </c>
      <c r="O86" s="26" t="n">
        <v>905.7325</v>
      </c>
      <c r="P86" s="29" t="n">
        <v>0.2187</v>
      </c>
      <c r="Q86" s="29" t="n">
        <v>0.4097</v>
      </c>
      <c r="R86" s="30" t="n">
        <v>71</v>
      </c>
    </row>
    <row r="87">
      <c r="A87" t="inlineStr">
        <is>
          <t>DC</t>
        </is>
      </c>
      <c r="B87" t="n">
        <v>2019</v>
      </c>
      <c r="C87" s="21" t="n">
        <v>98370</v>
      </c>
      <c r="D87" s="22" t="n">
        <v>0.619947342</v>
      </c>
      <c r="E87" s="15" t="n">
        <v>10607.36</v>
      </c>
      <c r="F87" s="23" t="n">
        <v>0.3024</v>
      </c>
      <c r="G87" s="23" t="n">
        <v>0.1407</v>
      </c>
      <c r="H87" s="23" t="n">
        <v>0.1075</v>
      </c>
      <c r="I87" s="23" t="n">
        <v>0.0839</v>
      </c>
      <c r="J87" s="23" t="n">
        <v>0.0174</v>
      </c>
      <c r="K87" s="23" t="n">
        <v>0.0299</v>
      </c>
      <c r="L87" s="23" t="n">
        <v>0.0472</v>
      </c>
      <c r="M87" s="23" t="n">
        <v>0.0272</v>
      </c>
      <c r="N87" s="21" t="n">
        <v>277.8852</v>
      </c>
      <c r="O87" s="21" t="n">
        <v>825.4598</v>
      </c>
      <c r="P87" s="23" t="n">
        <v>0.2261</v>
      </c>
      <c r="Q87" s="23" t="n">
        <v>0.3958</v>
      </c>
      <c r="R87" s="24" t="n">
        <v>72</v>
      </c>
    </row>
    <row r="88">
      <c r="A88" s="25" t="inlineStr">
        <is>
          <t>DC</t>
        </is>
      </c>
      <c r="B88" s="25" t="n">
        <v>2020</v>
      </c>
      <c r="C88" s="26" t="n">
        <v>98781</v>
      </c>
      <c r="D88" s="27" t="n">
        <v>0.581819593</v>
      </c>
      <c r="E88" s="28" t="n">
        <v>10168.29</v>
      </c>
      <c r="F88" s="29" t="n">
        <v>0.3153</v>
      </c>
      <c r="G88" s="29" t="n">
        <v>0.127</v>
      </c>
      <c r="H88" s="29" t="n">
        <v>0.1018</v>
      </c>
      <c r="I88" s="29" t="n">
        <v>0.0935</v>
      </c>
      <c r="J88" s="29" t="n">
        <v>0.0181</v>
      </c>
      <c r="K88" s="29" t="n">
        <v>0.0309</v>
      </c>
      <c r="L88" s="29" t="n">
        <v>0.0421</v>
      </c>
      <c r="M88" s="29" t="n">
        <v>0.027</v>
      </c>
      <c r="N88" s="26" t="n">
        <v>248.5888</v>
      </c>
      <c r="O88" s="26" t="n">
        <v>629.3714</v>
      </c>
      <c r="P88" s="29" t="n">
        <v>0.212</v>
      </c>
      <c r="Q88" s="29" t="n">
        <v>0.3838</v>
      </c>
      <c r="R88" s="30" t="n">
        <v>72</v>
      </c>
    </row>
    <row r="89">
      <c r="A89" t="inlineStr">
        <is>
          <t>DC</t>
        </is>
      </c>
      <c r="B89" t="n">
        <v>2021</v>
      </c>
      <c r="C89" s="21" t="n">
        <v>98576</v>
      </c>
      <c r="D89" s="22" t="n">
        <v>0.594049325</v>
      </c>
      <c r="E89" s="15" t="n">
        <v>10985.66</v>
      </c>
      <c r="F89" s="23" t="n">
        <v>0.2985</v>
      </c>
      <c r="G89" s="23" t="n">
        <v>0.1402</v>
      </c>
      <c r="H89" s="23" t="n">
        <v>0.1138</v>
      </c>
      <c r="I89" s="23" t="n">
        <v>0.08840000000000001</v>
      </c>
      <c r="J89" s="23" t="n">
        <v>0.0174</v>
      </c>
      <c r="K89" s="23" t="n">
        <v>0.0312</v>
      </c>
      <c r="L89" s="23" t="n">
        <v>0.0436</v>
      </c>
      <c r="M89" s="23" t="n">
        <v>0.0256</v>
      </c>
      <c r="N89" s="21" t="n">
        <v>243.902</v>
      </c>
      <c r="O89" s="21" t="n">
        <v>647.7855</v>
      </c>
      <c r="P89" s="23" t="n">
        <v>0.2072</v>
      </c>
      <c r="Q89" s="23" t="n">
        <v>0.3779</v>
      </c>
      <c r="R89" s="24" t="n">
        <v>72</v>
      </c>
    </row>
    <row r="90">
      <c r="A90" s="25" t="inlineStr">
        <is>
          <t>DC</t>
        </is>
      </c>
      <c r="B90" s="25" t="n">
        <v>2022</v>
      </c>
      <c r="C90" s="26" t="n">
        <v>98990</v>
      </c>
      <c r="D90" s="27" t="n">
        <v>0.5815656769999999</v>
      </c>
      <c r="E90" s="28" t="n">
        <v>11131.51</v>
      </c>
      <c r="F90" s="29" t="n">
        <v>0.291</v>
      </c>
      <c r="G90" s="29" t="n">
        <v>0.1485</v>
      </c>
      <c r="H90" s="29" t="n">
        <v>0.1167</v>
      </c>
      <c r="I90" s="29" t="n">
        <v>0.0901</v>
      </c>
      <c r="J90" s="29" t="n">
        <v>0.0207</v>
      </c>
      <c r="K90" s="29" t="n">
        <v>0.0291</v>
      </c>
      <c r="L90" s="29" t="n">
        <v>0.043</v>
      </c>
      <c r="M90" s="29" t="n">
        <v>0.0268</v>
      </c>
      <c r="N90" s="26" t="n">
        <v>239.0659</v>
      </c>
      <c r="O90" s="26" t="n">
        <v>662.6663</v>
      </c>
      <c r="P90" s="29" t="n">
        <v>0.2027</v>
      </c>
      <c r="Q90" s="29" t="n">
        <v>0.3843</v>
      </c>
      <c r="R90" s="30" t="n">
        <v>72</v>
      </c>
    </row>
    <row r="91">
      <c r="A91" t="inlineStr">
        <is>
          <t>DC</t>
        </is>
      </c>
      <c r="B91" t="n">
        <v>2023</v>
      </c>
      <c r="C91" s="21" t="n">
        <v>99522</v>
      </c>
      <c r="D91" s="22" t="n">
        <v>0.572607356</v>
      </c>
      <c r="E91" s="15" t="n">
        <v>11651.62</v>
      </c>
      <c r="F91" s="23" t="n">
        <v>0.2714</v>
      </c>
      <c r="G91" s="23" t="n">
        <v>0.1539</v>
      </c>
      <c r="H91" s="23" t="n">
        <v>0.1161</v>
      </c>
      <c r="I91" s="23" t="n">
        <v>0.08599999999999999</v>
      </c>
      <c r="J91" s="23" t="n">
        <v>0.0312</v>
      </c>
      <c r="K91" s="23" t="n">
        <v>0.0307</v>
      </c>
      <c r="L91" s="23" t="n">
        <v>0.0413</v>
      </c>
      <c r="M91" s="23" t="n">
        <v>0.0289</v>
      </c>
      <c r="N91" s="21" t="n">
        <v>232.9888</v>
      </c>
      <c r="O91" s="21" t="n">
        <v>675.6674</v>
      </c>
      <c r="P91" s="23" t="n">
        <v>0.198</v>
      </c>
      <c r="Q91" s="23" t="n">
        <v>0.3708</v>
      </c>
      <c r="R91" s="24" t="n">
        <v>73</v>
      </c>
    </row>
    <row r="92">
      <c r="A92" s="25" t="inlineStr">
        <is>
          <t>DC</t>
        </is>
      </c>
      <c r="B92" s="25" t="n">
        <v>2024</v>
      </c>
      <c r="C92" s="26" t="n">
        <v>100535</v>
      </c>
      <c r="D92" s="27" t="n">
        <v>0.576666759</v>
      </c>
      <c r="E92" s="28" t="n">
        <v>12132.95</v>
      </c>
      <c r="F92" s="29" t="n">
        <v>0.2628</v>
      </c>
      <c r="G92" s="29" t="n">
        <v>0.1538</v>
      </c>
      <c r="H92" s="29" t="n">
        <v>0.1162</v>
      </c>
      <c r="I92" s="29" t="n">
        <v>0.09080000000000001</v>
      </c>
      <c r="J92" s="29" t="n">
        <v>0.0367</v>
      </c>
      <c r="K92" s="29" t="n">
        <v>0.0307</v>
      </c>
      <c r="L92" s="29" t="n">
        <v>0.0389</v>
      </c>
      <c r="M92" s="29" t="n">
        <v>0.0291</v>
      </c>
      <c r="N92" s="26" t="n">
        <v>231.6691</v>
      </c>
      <c r="O92" s="26" t="n">
        <v>656.6307</v>
      </c>
      <c r="P92" s="29" t="n">
        <v>0.2038</v>
      </c>
      <c r="Q92" s="29" t="n">
        <v>0.3306</v>
      </c>
      <c r="R92" s="30" t="n">
        <v>73</v>
      </c>
    </row>
    <row r="93">
      <c r="A93" t="inlineStr">
        <is>
          <t>DE</t>
        </is>
      </c>
      <c r="B93" t="n">
        <v>2014</v>
      </c>
      <c r="C93" s="21" t="n">
        <v>182764</v>
      </c>
      <c r="D93" s="22" t="n">
        <v>1.389600149</v>
      </c>
      <c r="E93" s="15" t="n">
        <v>9177.790000000001</v>
      </c>
      <c r="F93" s="23" t="n">
        <v>0.2969</v>
      </c>
      <c r="G93" s="23" t="n">
        <v>0.1423</v>
      </c>
      <c r="H93" s="23" t="n">
        <v>0.1147</v>
      </c>
      <c r="I93" s="23" t="n">
        <v>0.0806</v>
      </c>
      <c r="J93" s="23" t="n">
        <v>0.025</v>
      </c>
      <c r="K93" s="23" t="n">
        <v>0.0395</v>
      </c>
      <c r="L93" s="23" t="n">
        <v>0.0544</v>
      </c>
      <c r="M93" s="23" t="n">
        <v>0.0365</v>
      </c>
      <c r="N93" s="21" t="n">
        <v>281.5156</v>
      </c>
      <c r="O93" s="21" t="n">
        <v>629.6455</v>
      </c>
      <c r="P93" s="23" t="n">
        <v>0.1811</v>
      </c>
      <c r="Q93" s="23" t="n">
        <v>0.1649</v>
      </c>
      <c r="R93" s="24" t="n">
        <v>72</v>
      </c>
    </row>
    <row r="94">
      <c r="A94" s="25" t="inlineStr">
        <is>
          <t>DE</t>
        </is>
      </c>
      <c r="B94" s="25" t="n">
        <v>2015</v>
      </c>
      <c r="C94" s="26" t="n">
        <v>189247</v>
      </c>
      <c r="D94" s="27" t="n">
        <v>1.47145352</v>
      </c>
      <c r="E94" s="28" t="n">
        <v>9414.290000000001</v>
      </c>
      <c r="F94" s="29" t="n">
        <v>0.2845</v>
      </c>
      <c r="G94" s="29" t="n">
        <v>0.1465</v>
      </c>
      <c r="H94" s="29" t="n">
        <v>0.1146</v>
      </c>
      <c r="I94" s="29" t="n">
        <v>0.0745</v>
      </c>
      <c r="J94" s="29" t="n">
        <v>0.0263</v>
      </c>
      <c r="K94" s="29" t="n">
        <v>0.0397</v>
      </c>
      <c r="L94" s="29" t="n">
        <v>0.0545</v>
      </c>
      <c r="M94" s="29" t="n">
        <v>0.0344</v>
      </c>
      <c r="N94" s="26" t="n">
        <v>267.5688</v>
      </c>
      <c r="O94" s="26" t="n">
        <v>636.1484</v>
      </c>
      <c r="P94" s="29" t="n">
        <v>0.1714</v>
      </c>
      <c r="Q94" s="29" t="n">
        <v>0.1636</v>
      </c>
      <c r="R94" s="30" t="n">
        <v>72</v>
      </c>
    </row>
    <row r="95">
      <c r="A95" t="inlineStr">
        <is>
          <t>DE</t>
        </is>
      </c>
      <c r="B95" t="n">
        <v>2016</v>
      </c>
      <c r="C95" s="21" t="n">
        <v>195642</v>
      </c>
      <c r="D95" s="22" t="n">
        <v>1.505193084</v>
      </c>
      <c r="E95" s="15" t="n">
        <v>9449.389999999999</v>
      </c>
      <c r="F95" s="23" t="n">
        <v>0.2853</v>
      </c>
      <c r="G95" s="23" t="n">
        <v>0.1535</v>
      </c>
      <c r="H95" s="23" t="n">
        <v>0.1114</v>
      </c>
      <c r="I95" s="23" t="n">
        <v>0.0698</v>
      </c>
      <c r="J95" s="23" t="n">
        <v>0.0216</v>
      </c>
      <c r="K95" s="23" t="n">
        <v>0.0401</v>
      </c>
      <c r="L95" s="23" t="n">
        <v>0.054</v>
      </c>
      <c r="M95" s="23" t="n">
        <v>0.0378</v>
      </c>
      <c r="N95" s="21" t="n">
        <v>260.5186</v>
      </c>
      <c r="O95" s="21" t="n">
        <v>640.8626</v>
      </c>
      <c r="P95" s="23" t="n">
        <v>0.1701</v>
      </c>
      <c r="Q95" s="23" t="n">
        <v>0.1636</v>
      </c>
      <c r="R95" s="24" t="n">
        <v>72</v>
      </c>
    </row>
    <row r="96">
      <c r="A96" s="25" t="inlineStr">
        <is>
          <t>DE</t>
        </is>
      </c>
      <c r="B96" s="25" t="n">
        <v>2017</v>
      </c>
      <c r="C96" s="26" t="n">
        <v>202288</v>
      </c>
      <c r="D96" s="27" t="n">
        <v>1.517716622</v>
      </c>
      <c r="E96" s="28" t="n">
        <v>9506.17</v>
      </c>
      <c r="F96" s="29" t="n">
        <v>0.2768</v>
      </c>
      <c r="G96" s="29" t="n">
        <v>0.1632</v>
      </c>
      <c r="H96" s="29" t="n">
        <v>0.1111</v>
      </c>
      <c r="I96" s="29" t="n">
        <v>0.0688</v>
      </c>
      <c r="J96" s="29" t="n">
        <v>0.0196</v>
      </c>
      <c r="K96" s="29" t="n">
        <v>0.0402</v>
      </c>
      <c r="L96" s="29" t="n">
        <v>0.0534</v>
      </c>
      <c r="M96" s="29" t="n">
        <v>0.0396</v>
      </c>
      <c r="N96" s="26" t="n">
        <v>255.5181</v>
      </c>
      <c r="O96" s="26" t="n">
        <v>639.6878</v>
      </c>
      <c r="P96" s="29" t="n">
        <v>0.17</v>
      </c>
      <c r="Q96" s="29" t="n">
        <v>0.1705</v>
      </c>
      <c r="R96" s="30" t="n">
        <v>72</v>
      </c>
    </row>
    <row r="97">
      <c r="A97" t="inlineStr">
        <is>
          <t>DE</t>
        </is>
      </c>
      <c r="B97" t="n">
        <v>2018</v>
      </c>
      <c r="C97" s="21" t="n">
        <v>210490</v>
      </c>
      <c r="D97" s="22" t="n">
        <v>1.585194701</v>
      </c>
      <c r="E97" s="15" t="n">
        <v>9820.370000000001</v>
      </c>
      <c r="F97" s="23" t="n">
        <v>0.263</v>
      </c>
      <c r="G97" s="23" t="n">
        <v>0.1744</v>
      </c>
      <c r="H97" s="23" t="n">
        <v>0.1095</v>
      </c>
      <c r="I97" s="23" t="n">
        <v>0.06270000000000001</v>
      </c>
      <c r="J97" s="23" t="n">
        <v>0.0203</v>
      </c>
      <c r="K97" s="23" t="n">
        <v>0.0393</v>
      </c>
      <c r="L97" s="23" t="n">
        <v>0.0528</v>
      </c>
      <c r="M97" s="23" t="n">
        <v>0.0406</v>
      </c>
      <c r="N97" s="21" t="n">
        <v>244.6614</v>
      </c>
      <c r="O97" s="21" t="n">
        <v>629.2196</v>
      </c>
      <c r="P97" s="23" t="n">
        <v>0.1711</v>
      </c>
      <c r="Q97" s="23" t="n">
        <v>0.1534</v>
      </c>
      <c r="R97" s="24" t="n">
        <v>72</v>
      </c>
    </row>
    <row r="98">
      <c r="A98" s="25" t="inlineStr">
        <is>
          <t>DE</t>
        </is>
      </c>
      <c r="B98" s="25" t="n">
        <v>2019</v>
      </c>
      <c r="C98" s="26" t="n">
        <v>217772</v>
      </c>
      <c r="D98" s="27" t="n">
        <v>1.641380333</v>
      </c>
      <c r="E98" s="28" t="n">
        <v>10166.3</v>
      </c>
      <c r="F98" s="29" t="n">
        <v>0.2528</v>
      </c>
      <c r="G98" s="29" t="n">
        <v>0.1772</v>
      </c>
      <c r="H98" s="29" t="n">
        <v>0.109</v>
      </c>
      <c r="I98" s="29" t="n">
        <v>0.0591</v>
      </c>
      <c r="J98" s="29" t="n">
        <v>0.0206</v>
      </c>
      <c r="K98" s="29" t="n">
        <v>0.0391</v>
      </c>
      <c r="L98" s="29" t="n">
        <v>0.0526</v>
      </c>
      <c r="M98" s="29" t="n">
        <v>0.041</v>
      </c>
      <c r="N98" s="26" t="n">
        <v>242.7332</v>
      </c>
      <c r="O98" s="26" t="n">
        <v>620.038</v>
      </c>
      <c r="P98" s="29" t="n">
        <v>0.1727</v>
      </c>
      <c r="Q98" s="29" t="n">
        <v>0.1475</v>
      </c>
      <c r="R98" s="30" t="n">
        <v>72</v>
      </c>
    </row>
    <row r="99">
      <c r="A99" t="inlineStr">
        <is>
          <t>DE</t>
        </is>
      </c>
      <c r="B99" t="n">
        <v>2020</v>
      </c>
      <c r="C99" s="21" t="n">
        <v>225795</v>
      </c>
      <c r="D99" s="22" t="n">
        <v>1.550375825</v>
      </c>
      <c r="E99" s="15" t="n">
        <v>9581.870000000001</v>
      </c>
      <c r="F99" s="23" t="n">
        <v>0.254</v>
      </c>
      <c r="G99" s="23" t="n">
        <v>0.1737</v>
      </c>
      <c r="H99" s="23" t="n">
        <v>0.1028</v>
      </c>
      <c r="I99" s="23" t="n">
        <v>0.059</v>
      </c>
      <c r="J99" s="23" t="n">
        <v>0.0236</v>
      </c>
      <c r="K99" s="23" t="n">
        <v>0.0397</v>
      </c>
      <c r="L99" s="23" t="n">
        <v>0.0475</v>
      </c>
      <c r="M99" s="23" t="n">
        <v>0.0455</v>
      </c>
      <c r="N99" s="21" t="n">
        <v>204.7428</v>
      </c>
      <c r="O99" s="21" t="n">
        <v>499.4098</v>
      </c>
      <c r="P99" s="23" t="n">
        <v>0.1711</v>
      </c>
      <c r="Q99" s="23" t="n">
        <v>0.1405</v>
      </c>
      <c r="R99" s="24" t="n">
        <v>73</v>
      </c>
    </row>
    <row r="100">
      <c r="A100" s="25" t="inlineStr">
        <is>
          <t>DE</t>
        </is>
      </c>
      <c r="B100" s="25" t="n">
        <v>2021</v>
      </c>
      <c r="C100" s="26" t="n">
        <v>233134</v>
      </c>
      <c r="D100" s="27" t="n">
        <v>1.679369424</v>
      </c>
      <c r="E100" s="28" t="n">
        <v>10702.76</v>
      </c>
      <c r="F100" s="29" t="n">
        <v>0.2472</v>
      </c>
      <c r="G100" s="29" t="n">
        <v>0.1846</v>
      </c>
      <c r="H100" s="29" t="n">
        <v>0.1117</v>
      </c>
      <c r="I100" s="29" t="n">
        <v>0.0597</v>
      </c>
      <c r="J100" s="29" t="n">
        <v>0.023</v>
      </c>
      <c r="K100" s="29" t="n">
        <v>0.0366</v>
      </c>
      <c r="L100" s="29" t="n">
        <v>0.0475</v>
      </c>
      <c r="M100" s="29" t="n">
        <v>0.0425</v>
      </c>
      <c r="N100" s="26" t="n">
        <v>205.5191</v>
      </c>
      <c r="O100" s="26" t="n">
        <v>534.574</v>
      </c>
      <c r="P100" s="29" t="n">
        <v>0.1715</v>
      </c>
      <c r="Q100" s="29" t="n">
        <v>0.1311</v>
      </c>
      <c r="R100" s="30" t="n">
        <v>73</v>
      </c>
    </row>
    <row r="101">
      <c r="A101" t="inlineStr">
        <is>
          <t>DE</t>
        </is>
      </c>
      <c r="B101" t="n">
        <v>2022</v>
      </c>
      <c r="C101" s="21" t="n">
        <v>240663</v>
      </c>
      <c r="D101" s="22" t="n">
        <v>1.667805624</v>
      </c>
      <c r="E101" s="15" t="n">
        <v>10904.4</v>
      </c>
      <c r="F101" s="23" t="n">
        <v>0.2401</v>
      </c>
      <c r="G101" s="23" t="n">
        <v>0.1847</v>
      </c>
      <c r="H101" s="23" t="n">
        <v>0.1109</v>
      </c>
      <c r="I101" s="23" t="n">
        <v>0.0611</v>
      </c>
      <c r="J101" s="23" t="n">
        <v>0.0275</v>
      </c>
      <c r="K101" s="23" t="n">
        <v>0.0356</v>
      </c>
      <c r="L101" s="23" t="n">
        <v>0.0464</v>
      </c>
      <c r="M101" s="23" t="n">
        <v>0.0406</v>
      </c>
      <c r="N101" s="21" t="n">
        <v>199.8915</v>
      </c>
      <c r="O101" s="21" t="n">
        <v>526.3423</v>
      </c>
      <c r="P101" s="23" t="n">
        <v>0.164</v>
      </c>
      <c r="Q101" s="23" t="n">
        <v>0.1251</v>
      </c>
      <c r="R101" s="24" t="n">
        <v>73</v>
      </c>
    </row>
    <row r="102">
      <c r="A102" s="25" t="inlineStr">
        <is>
          <t>DE</t>
        </is>
      </c>
      <c r="B102" s="25" t="n">
        <v>2023</v>
      </c>
      <c r="C102" s="26" t="n">
        <v>248282</v>
      </c>
      <c r="D102" s="27" t="n">
        <v>1.77782439</v>
      </c>
      <c r="E102" s="28" t="n">
        <v>11811.22</v>
      </c>
      <c r="F102" s="29" t="n">
        <v>0.221</v>
      </c>
      <c r="G102" s="29" t="n">
        <v>0.1887</v>
      </c>
      <c r="H102" s="29" t="n">
        <v>0.1074</v>
      </c>
      <c r="I102" s="29" t="n">
        <v>0.0577</v>
      </c>
      <c r="J102" s="29" t="n">
        <v>0.0489</v>
      </c>
      <c r="K102" s="29" t="n">
        <v>0.0332</v>
      </c>
      <c r="L102" s="29" t="n">
        <v>0.0445</v>
      </c>
      <c r="M102" s="29" t="n">
        <v>0.0366</v>
      </c>
      <c r="N102" s="26" t="n">
        <v>204.4313</v>
      </c>
      <c r="O102" s="26" t="n">
        <v>549.236</v>
      </c>
      <c r="P102" s="29" t="n">
        <v>0.1693</v>
      </c>
      <c r="Q102" s="29" t="n">
        <v>0.1204</v>
      </c>
      <c r="R102" s="30" t="n">
        <v>73</v>
      </c>
    </row>
    <row r="103">
      <c r="A103" t="inlineStr">
        <is>
          <t>DE</t>
        </is>
      </c>
      <c r="B103" t="n">
        <v>2024</v>
      </c>
      <c r="C103" s="21" t="n">
        <v>256010</v>
      </c>
      <c r="D103" s="22" t="n">
        <v>1.85694149</v>
      </c>
      <c r="E103" s="15" t="n">
        <v>12428.41</v>
      </c>
      <c r="F103" s="23" t="n">
        <v>0.2193</v>
      </c>
      <c r="G103" s="23" t="n">
        <v>0.1916</v>
      </c>
      <c r="H103" s="23" t="n">
        <v>0.1064</v>
      </c>
      <c r="I103" s="23" t="n">
        <v>0.0557</v>
      </c>
      <c r="J103" s="23" t="n">
        <v>0.0513</v>
      </c>
      <c r="K103" s="23" t="n">
        <v>0.0321</v>
      </c>
      <c r="L103" s="23" t="n">
        <v>0.0429</v>
      </c>
      <c r="M103" s="23" t="n">
        <v>0.0344</v>
      </c>
      <c r="N103" s="21" t="n">
        <v>209.6365</v>
      </c>
      <c r="O103" s="21" t="n">
        <v>564.5167</v>
      </c>
      <c r="P103" s="23" t="n">
        <v>0.1678</v>
      </c>
      <c r="Q103" s="23" t="n">
        <v>0.1067</v>
      </c>
      <c r="R103" s="24" t="n">
        <v>74</v>
      </c>
    </row>
    <row r="104">
      <c r="A104" s="25" t="inlineStr">
        <is>
          <t>FL</t>
        </is>
      </c>
      <c r="B104" s="25" t="n">
        <v>2014</v>
      </c>
      <c r="C104" s="26" t="n">
        <v>4081432</v>
      </c>
      <c r="D104" s="27" t="n">
        <v>23.995812025</v>
      </c>
      <c r="E104" s="28" t="n">
        <v>10866.29</v>
      </c>
      <c r="F104" s="29" t="n">
        <v>0.2591</v>
      </c>
      <c r="G104" s="29" t="n">
        <v>0.09619999999999999</v>
      </c>
      <c r="H104" s="29" t="n">
        <v>0.1188</v>
      </c>
      <c r="I104" s="29" t="n">
        <v>0.08890000000000001</v>
      </c>
      <c r="J104" s="29" t="n">
        <v>0.0211</v>
      </c>
      <c r="K104" s="29" t="n">
        <v>0.0847</v>
      </c>
      <c r="L104" s="29" t="n">
        <v>0.0619</v>
      </c>
      <c r="M104" s="29" t="n">
        <v>0.0406</v>
      </c>
      <c r="N104" s="26" t="n">
        <v>319.5676</v>
      </c>
      <c r="O104" s="26" t="n">
        <v>646.4191</v>
      </c>
      <c r="P104" s="29" t="n">
        <v>0.1949</v>
      </c>
      <c r="Q104" s="29" t="n">
        <v>0.1845</v>
      </c>
      <c r="R104" s="30" t="n">
        <v>73</v>
      </c>
    </row>
    <row r="105">
      <c r="A105" t="inlineStr">
        <is>
          <t>FL</t>
        </is>
      </c>
      <c r="B105" t="n">
        <v>2015</v>
      </c>
      <c r="C105" s="21" t="n">
        <v>4224788</v>
      </c>
      <c r="D105" s="22" t="n">
        <v>24.542434855</v>
      </c>
      <c r="E105" s="15" t="n">
        <v>11078.29</v>
      </c>
      <c r="F105" s="23" t="n">
        <v>0.2556</v>
      </c>
      <c r="G105" s="23" t="n">
        <v>0.0999</v>
      </c>
      <c r="H105" s="23" t="n">
        <v>0.119</v>
      </c>
      <c r="I105" s="23" t="n">
        <v>0.0867</v>
      </c>
      <c r="J105" s="23" t="n">
        <v>0.0219</v>
      </c>
      <c r="K105" s="23" t="n">
        <v>0.08119999999999999</v>
      </c>
      <c r="L105" s="23" t="n">
        <v>0.0614</v>
      </c>
      <c r="M105" s="23" t="n">
        <v>0.0411</v>
      </c>
      <c r="N105" s="21" t="n">
        <v>313.5864</v>
      </c>
      <c r="O105" s="21" t="n">
        <v>660.4129</v>
      </c>
      <c r="P105" s="23" t="n">
        <v>0.1944</v>
      </c>
      <c r="Q105" s="23" t="n">
        <v>0.1792</v>
      </c>
      <c r="R105" s="24" t="n">
        <v>73</v>
      </c>
    </row>
    <row r="106">
      <c r="A106" s="25" t="inlineStr">
        <is>
          <t>FL</t>
        </is>
      </c>
      <c r="B106" s="25" t="n">
        <v>2016</v>
      </c>
      <c r="C106" s="26" t="n">
        <v>4355007</v>
      </c>
      <c r="D106" s="27" t="n">
        <v>24.759236863</v>
      </c>
      <c r="E106" s="28" t="n">
        <v>11040.65</v>
      </c>
      <c r="F106" s="29" t="n">
        <v>0.2609</v>
      </c>
      <c r="G106" s="29" t="n">
        <v>0.103</v>
      </c>
      <c r="H106" s="29" t="n">
        <v>0.1175</v>
      </c>
      <c r="I106" s="29" t="n">
        <v>0.0828</v>
      </c>
      <c r="J106" s="29" t="n">
        <v>0.0185</v>
      </c>
      <c r="K106" s="29" t="n">
        <v>0.0742</v>
      </c>
      <c r="L106" s="29" t="n">
        <v>0.0619</v>
      </c>
      <c r="M106" s="29" t="n">
        <v>0.0415</v>
      </c>
      <c r="N106" s="26" t="n">
        <v>305.4889</v>
      </c>
      <c r="O106" s="26" t="n">
        <v>666.5903</v>
      </c>
      <c r="P106" s="29" t="n">
        <v>0.1907</v>
      </c>
      <c r="Q106" s="29" t="n">
        <v>0.1714</v>
      </c>
      <c r="R106" s="30" t="n">
        <v>73</v>
      </c>
    </row>
    <row r="107">
      <c r="A107" t="inlineStr">
        <is>
          <t>FL</t>
        </is>
      </c>
      <c r="B107" t="n">
        <v>2017</v>
      </c>
      <c r="C107" s="21" t="n">
        <v>4482799</v>
      </c>
      <c r="D107" s="22" t="n">
        <v>24.863134805</v>
      </c>
      <c r="E107" s="15" t="n">
        <v>11186.14</v>
      </c>
      <c r="F107" s="23" t="n">
        <v>0.2613</v>
      </c>
      <c r="G107" s="23" t="n">
        <v>0.1088</v>
      </c>
      <c r="H107" s="23" t="n">
        <v>0.1174</v>
      </c>
      <c r="I107" s="23" t="n">
        <v>0.08019999999999999</v>
      </c>
      <c r="J107" s="23" t="n">
        <v>0.0173</v>
      </c>
      <c r="K107" s="23" t="n">
        <v>0.06850000000000001</v>
      </c>
      <c r="L107" s="23" t="n">
        <v>0.0608</v>
      </c>
      <c r="M107" s="23" t="n">
        <v>0.0416</v>
      </c>
      <c r="N107" s="21" t="n">
        <v>304.3138</v>
      </c>
      <c r="O107" s="21" t="n">
        <v>675.3588999999999</v>
      </c>
      <c r="P107" s="23" t="n">
        <v>0.1916</v>
      </c>
      <c r="Q107" s="23" t="n">
        <v>0.1627</v>
      </c>
      <c r="R107" s="24" t="n">
        <v>73</v>
      </c>
    </row>
    <row r="108">
      <c r="A108" s="25" t="inlineStr">
        <is>
          <t>FL</t>
        </is>
      </c>
      <c r="B108" s="25" t="n">
        <v>2018</v>
      </c>
      <c r="C108" s="26" t="n">
        <v>4614726</v>
      </c>
      <c r="D108" s="27" t="n">
        <v>25.464179413</v>
      </c>
      <c r="E108" s="28" t="n">
        <v>11571.78</v>
      </c>
      <c r="F108" s="29" t="n">
        <v>0.2533</v>
      </c>
      <c r="G108" s="29" t="n">
        <v>0.1149</v>
      </c>
      <c r="H108" s="29" t="n">
        <v>0.1163</v>
      </c>
      <c r="I108" s="29" t="n">
        <v>0.0746</v>
      </c>
      <c r="J108" s="29" t="n">
        <v>0.0186</v>
      </c>
      <c r="K108" s="29" t="n">
        <v>0.0673</v>
      </c>
      <c r="L108" s="29" t="n">
        <v>0.0603</v>
      </c>
      <c r="M108" s="29" t="n">
        <v>0.041</v>
      </c>
      <c r="N108" s="26" t="n">
        <v>295.0065</v>
      </c>
      <c r="O108" s="26" t="n">
        <v>659.0525</v>
      </c>
      <c r="P108" s="29" t="n">
        <v>0.1892</v>
      </c>
      <c r="Q108" s="29" t="n">
        <v>0.1515</v>
      </c>
      <c r="R108" s="30" t="n">
        <v>73</v>
      </c>
    </row>
    <row r="109">
      <c r="A109" t="inlineStr">
        <is>
          <t>FL</t>
        </is>
      </c>
      <c r="B109" t="n">
        <v>2019</v>
      </c>
      <c r="C109" s="21" t="n">
        <v>4760143</v>
      </c>
      <c r="D109" s="22" t="n">
        <v>25.995974124</v>
      </c>
      <c r="E109" s="15" t="n">
        <v>11914.66</v>
      </c>
      <c r="F109" s="23" t="n">
        <v>0.2497</v>
      </c>
      <c r="G109" s="23" t="n">
        <v>0.1171</v>
      </c>
      <c r="H109" s="23" t="n">
        <v>0.1152</v>
      </c>
      <c r="I109" s="23" t="n">
        <v>0.0692</v>
      </c>
      <c r="J109" s="23" t="n">
        <v>0.0199</v>
      </c>
      <c r="K109" s="23" t="n">
        <v>0.066</v>
      </c>
      <c r="L109" s="23" t="n">
        <v>0.0608</v>
      </c>
      <c r="M109" s="23" t="n">
        <v>0.0421</v>
      </c>
      <c r="N109" s="21" t="n">
        <v>290.6295</v>
      </c>
      <c r="O109" s="21" t="n">
        <v>660.0637</v>
      </c>
      <c r="P109" s="23" t="n">
        <v>0.1887</v>
      </c>
      <c r="Q109" s="23" t="n">
        <v>0.1442</v>
      </c>
      <c r="R109" s="24" t="n">
        <v>73</v>
      </c>
    </row>
    <row r="110">
      <c r="A110" s="25" t="inlineStr">
        <is>
          <t>FL</t>
        </is>
      </c>
      <c r="B110" s="25" t="n">
        <v>2020</v>
      </c>
      <c r="C110" s="26" t="n">
        <v>4892154</v>
      </c>
      <c r="D110" s="27" t="n">
        <v>24.432633578</v>
      </c>
      <c r="E110" s="28" t="n">
        <v>11405.65</v>
      </c>
      <c r="F110" s="29" t="n">
        <v>0.246</v>
      </c>
      <c r="G110" s="29" t="n">
        <v>0.1137</v>
      </c>
      <c r="H110" s="29" t="n">
        <v>0.111</v>
      </c>
      <c r="I110" s="29" t="n">
        <v>0.0742</v>
      </c>
      <c r="J110" s="29" t="n">
        <v>0.023</v>
      </c>
      <c r="K110" s="29" t="n">
        <v>0.062</v>
      </c>
      <c r="L110" s="29" t="n">
        <v>0.0564</v>
      </c>
      <c r="M110" s="29" t="n">
        <v>0.0462</v>
      </c>
      <c r="N110" s="26" t="n">
        <v>252.4215</v>
      </c>
      <c r="O110" s="26" t="n">
        <v>536.7189</v>
      </c>
      <c r="P110" s="29" t="n">
        <v>0.1915</v>
      </c>
      <c r="Q110" s="29" t="n">
        <v>0.1383</v>
      </c>
      <c r="R110" s="30" t="n">
        <v>73</v>
      </c>
    </row>
    <row r="111">
      <c r="A111" t="inlineStr">
        <is>
          <t>FL</t>
        </is>
      </c>
      <c r="B111" t="n">
        <v>2021</v>
      </c>
      <c r="C111" s="21" t="n">
        <v>5028324</v>
      </c>
      <c r="D111" s="22" t="n">
        <v>25.335313577</v>
      </c>
      <c r="E111" s="15" t="n">
        <v>12186.1</v>
      </c>
      <c r="F111" s="23" t="n">
        <v>0.2372</v>
      </c>
      <c r="G111" s="23" t="n">
        <v>0.1234</v>
      </c>
      <c r="H111" s="23" t="n">
        <v>0.1195</v>
      </c>
      <c r="I111" s="23" t="n">
        <v>0.065</v>
      </c>
      <c r="J111" s="23" t="n">
        <v>0.0287</v>
      </c>
      <c r="K111" s="23" t="n">
        <v>0.0579</v>
      </c>
      <c r="L111" s="23" t="n">
        <v>0.0573</v>
      </c>
      <c r="M111" s="23" t="n">
        <v>0.0425</v>
      </c>
      <c r="N111" s="21" t="n">
        <v>248.2109</v>
      </c>
      <c r="O111" s="21" t="n">
        <v>570.0008</v>
      </c>
      <c r="P111" s="23" t="n">
        <v>0.1891</v>
      </c>
      <c r="Q111" s="23" t="n">
        <v>0.1282</v>
      </c>
      <c r="R111" s="24" t="n">
        <v>74</v>
      </c>
    </row>
    <row r="112">
      <c r="A112" s="25" t="inlineStr">
        <is>
          <t>FL</t>
        </is>
      </c>
      <c r="B112" s="25" t="n">
        <v>2022</v>
      </c>
      <c r="C112" s="26" t="n">
        <v>5144675</v>
      </c>
      <c r="D112" s="27" t="n">
        <v>25.60947197</v>
      </c>
      <c r="E112" s="28" t="n">
        <v>12657.25</v>
      </c>
      <c r="F112" s="29" t="n">
        <v>0.2352</v>
      </c>
      <c r="G112" s="29" t="n">
        <v>0.1273</v>
      </c>
      <c r="H112" s="29" t="n">
        <v>0.1158</v>
      </c>
      <c r="I112" s="29" t="n">
        <v>0.07000000000000001</v>
      </c>
      <c r="J112" s="29" t="n">
        <v>0.0325</v>
      </c>
      <c r="K112" s="29" t="n">
        <v>0.0553</v>
      </c>
      <c r="L112" s="29" t="n">
        <v>0.0554</v>
      </c>
      <c r="M112" s="29" t="n">
        <v>0.042</v>
      </c>
      <c r="N112" s="26" t="n">
        <v>252.703</v>
      </c>
      <c r="O112" s="26" t="n">
        <v>604.8191</v>
      </c>
      <c r="P112" s="29" t="n">
        <v>0.1878</v>
      </c>
      <c r="Q112" s="29" t="n">
        <v>0.1201</v>
      </c>
      <c r="R112" s="30" t="n">
        <v>74</v>
      </c>
    </row>
    <row r="113">
      <c r="A113" t="inlineStr">
        <is>
          <t>FL</t>
        </is>
      </c>
      <c r="B113" t="n">
        <v>2023</v>
      </c>
      <c r="C113" s="21" t="n">
        <v>5250841</v>
      </c>
      <c r="D113" s="22" t="n">
        <v>26.871547268</v>
      </c>
      <c r="E113" s="15" t="n">
        <v>13686.37</v>
      </c>
      <c r="F113" s="23" t="n">
        <v>0.2254</v>
      </c>
      <c r="G113" s="23" t="n">
        <v>0.1304</v>
      </c>
      <c r="H113" s="23" t="n">
        <v>0.1124</v>
      </c>
      <c r="I113" s="23" t="n">
        <v>0.06270000000000001</v>
      </c>
      <c r="J113" s="23" t="n">
        <v>0.045</v>
      </c>
      <c r="K113" s="23" t="n">
        <v>0.0532</v>
      </c>
      <c r="L113" s="23" t="n">
        <v>0.0529</v>
      </c>
      <c r="M113" s="23" t="n">
        <v>0.0423</v>
      </c>
      <c r="N113" s="21" t="n">
        <v>258.5928</v>
      </c>
      <c r="O113" s="21" t="n">
        <v>612.4693</v>
      </c>
      <c r="P113" s="23" t="n">
        <v>0.1873</v>
      </c>
      <c r="Q113" s="23" t="n">
        <v>0.1119</v>
      </c>
      <c r="R113" s="24" t="n">
        <v>74</v>
      </c>
    </row>
    <row r="114">
      <c r="A114" s="25" t="inlineStr">
        <is>
          <t>FL</t>
        </is>
      </c>
      <c r="B114" s="25" t="n">
        <v>2024</v>
      </c>
      <c r="C114" s="26" t="n">
        <v>5358416</v>
      </c>
      <c r="D114" s="27" t="n">
        <v>28.149988492</v>
      </c>
      <c r="E114" s="28" t="n">
        <v>14679.6</v>
      </c>
      <c r="F114" s="29" t="n">
        <v>0.2159</v>
      </c>
      <c r="G114" s="29" t="n">
        <v>0.1322</v>
      </c>
      <c r="H114" s="29" t="n">
        <v>0.1097</v>
      </c>
      <c r="I114" s="29" t="n">
        <v>0.0607</v>
      </c>
      <c r="J114" s="29" t="n">
        <v>0.0602</v>
      </c>
      <c r="K114" s="29" t="n">
        <v>0.0514</v>
      </c>
      <c r="L114" s="29" t="n">
        <v>0.0497</v>
      </c>
      <c r="M114" s="29" t="n">
        <v>0.0428</v>
      </c>
      <c r="N114" s="26" t="n">
        <v>261.7245</v>
      </c>
      <c r="O114" s="26" t="n">
        <v>620.6238</v>
      </c>
      <c r="P114" s="29" t="n">
        <v>0.1889</v>
      </c>
      <c r="Q114" s="29" t="n">
        <v>0.1006</v>
      </c>
      <c r="R114" s="30" t="n">
        <v>74</v>
      </c>
    </row>
    <row r="115">
      <c r="A115" t="inlineStr">
        <is>
          <t>GA</t>
        </is>
      </c>
      <c r="B115" t="n">
        <v>2014</v>
      </c>
      <c r="C115" s="21" t="n">
        <v>1549082</v>
      </c>
      <c r="D115" s="22" t="n">
        <v>8.802401161000001</v>
      </c>
      <c r="E115" s="15" t="n">
        <v>9280.809999999999</v>
      </c>
      <c r="F115" s="23" t="n">
        <v>0.2813</v>
      </c>
      <c r="G115" s="23" t="n">
        <v>0.1369</v>
      </c>
      <c r="H115" s="23" t="n">
        <v>0.1017</v>
      </c>
      <c r="I115" s="23" t="n">
        <v>0.0698</v>
      </c>
      <c r="J115" s="23" t="n">
        <v>0.0262</v>
      </c>
      <c r="K115" s="23" t="n">
        <v>0.0464</v>
      </c>
      <c r="L115" s="23" t="n">
        <v>0.0553</v>
      </c>
      <c r="M115" s="23" t="n">
        <v>0.0494</v>
      </c>
      <c r="N115" s="21" t="n">
        <v>276.1637</v>
      </c>
      <c r="O115" s="21" t="n">
        <v>709.1608</v>
      </c>
      <c r="P115" s="23" t="n">
        <v>0.1792</v>
      </c>
      <c r="Q115" s="23" t="n">
        <v>0.2085</v>
      </c>
      <c r="R115" s="24" t="n">
        <v>70</v>
      </c>
    </row>
    <row r="116">
      <c r="A116" s="25" t="inlineStr">
        <is>
          <t>GA</t>
        </is>
      </c>
      <c r="B116" s="25" t="n">
        <v>2015</v>
      </c>
      <c r="C116" s="26" t="n">
        <v>1602402</v>
      </c>
      <c r="D116" s="27" t="n">
        <v>9.0497195</v>
      </c>
      <c r="E116" s="28" t="n">
        <v>9606.040000000001</v>
      </c>
      <c r="F116" s="29" t="n">
        <v>0.274</v>
      </c>
      <c r="G116" s="29" t="n">
        <v>0.1399</v>
      </c>
      <c r="H116" s="29" t="n">
        <v>0.1023</v>
      </c>
      <c r="I116" s="29" t="n">
        <v>0.06759999999999999</v>
      </c>
      <c r="J116" s="29" t="n">
        <v>0.0264</v>
      </c>
      <c r="K116" s="29" t="n">
        <v>0.0465</v>
      </c>
      <c r="L116" s="29" t="n">
        <v>0.0542</v>
      </c>
      <c r="M116" s="29" t="n">
        <v>0.0489</v>
      </c>
      <c r="N116" s="26" t="n">
        <v>272.5664</v>
      </c>
      <c r="O116" s="26" t="n">
        <v>715.3232</v>
      </c>
      <c r="P116" s="29" t="n">
        <v>0.1772</v>
      </c>
      <c r="Q116" s="29" t="n">
        <v>0.2025</v>
      </c>
      <c r="R116" s="30" t="n">
        <v>70</v>
      </c>
    </row>
    <row r="117">
      <c r="A117" t="inlineStr">
        <is>
          <t>GA</t>
        </is>
      </c>
      <c r="B117" t="n">
        <v>2016</v>
      </c>
      <c r="C117" s="21" t="n">
        <v>1651904</v>
      </c>
      <c r="D117" s="22" t="n">
        <v>9.080675885</v>
      </c>
      <c r="E117" s="15" t="n">
        <v>9639.43</v>
      </c>
      <c r="F117" s="23" t="n">
        <v>0.2799</v>
      </c>
      <c r="G117" s="23" t="n">
        <v>0.144</v>
      </c>
      <c r="H117" s="23" t="n">
        <v>0.1011</v>
      </c>
      <c r="I117" s="23" t="n">
        <v>0.06469999999999999</v>
      </c>
      <c r="J117" s="23" t="n">
        <v>0.0217</v>
      </c>
      <c r="K117" s="23" t="n">
        <v>0.0457</v>
      </c>
      <c r="L117" s="23" t="n">
        <v>0.0538</v>
      </c>
      <c r="M117" s="23" t="n">
        <v>0.0486</v>
      </c>
      <c r="N117" s="21" t="n">
        <v>269.2214</v>
      </c>
      <c r="O117" s="21" t="n">
        <v>710.8961</v>
      </c>
      <c r="P117" s="23" t="n">
        <v>0.1792</v>
      </c>
      <c r="Q117" s="23" t="n">
        <v>0.1946</v>
      </c>
      <c r="R117" s="24" t="n">
        <v>71</v>
      </c>
    </row>
    <row r="118">
      <c r="A118" s="25" t="inlineStr">
        <is>
          <t>GA</t>
        </is>
      </c>
      <c r="B118" s="25" t="n">
        <v>2017</v>
      </c>
      <c r="C118" s="26" t="n">
        <v>1700783</v>
      </c>
      <c r="D118" s="27" t="n">
        <v>9.266631777000001</v>
      </c>
      <c r="E118" s="28" t="n">
        <v>9919.99</v>
      </c>
      <c r="F118" s="29" t="n">
        <v>0.2799</v>
      </c>
      <c r="G118" s="29" t="n">
        <v>0.1508</v>
      </c>
      <c r="H118" s="29" t="n">
        <v>0.0998</v>
      </c>
      <c r="I118" s="29" t="n">
        <v>0.0626</v>
      </c>
      <c r="J118" s="29" t="n">
        <v>0.02</v>
      </c>
      <c r="K118" s="29" t="n">
        <v>0.0442</v>
      </c>
      <c r="L118" s="29" t="n">
        <v>0.0526</v>
      </c>
      <c r="M118" s="29" t="n">
        <v>0.0476</v>
      </c>
      <c r="N118" s="26" t="n">
        <v>270.911</v>
      </c>
      <c r="O118" s="26" t="n">
        <v>708.6209</v>
      </c>
      <c r="P118" s="29" t="n">
        <v>0.1817</v>
      </c>
      <c r="Q118" s="29" t="n">
        <v>0.1884</v>
      </c>
      <c r="R118" s="30" t="n">
        <v>71</v>
      </c>
    </row>
    <row r="119">
      <c r="A119" t="inlineStr">
        <is>
          <t>GA</t>
        </is>
      </c>
      <c r="B119" t="n">
        <v>2018</v>
      </c>
      <c r="C119" s="21" t="n">
        <v>1758723</v>
      </c>
      <c r="D119" s="22" t="n">
        <v>9.54126024</v>
      </c>
      <c r="E119" s="15" t="n">
        <v>10340.65</v>
      </c>
      <c r="F119" s="23" t="n">
        <v>0.2721</v>
      </c>
      <c r="G119" s="23" t="n">
        <v>0.1574</v>
      </c>
      <c r="H119" s="23" t="n">
        <v>0.0977</v>
      </c>
      <c r="I119" s="23" t="n">
        <v>0.0594</v>
      </c>
      <c r="J119" s="23" t="n">
        <v>0.0216</v>
      </c>
      <c r="K119" s="23" t="n">
        <v>0.0442</v>
      </c>
      <c r="L119" s="23" t="n">
        <v>0.0513</v>
      </c>
      <c r="M119" s="23" t="n">
        <v>0.046</v>
      </c>
      <c r="N119" s="21" t="n">
        <v>268.9472</v>
      </c>
      <c r="O119" s="21" t="n">
        <v>690.4391000000001</v>
      </c>
      <c r="P119" s="23" t="n">
        <v>0.1854</v>
      </c>
      <c r="Q119" s="23" t="n">
        <v>0.1814</v>
      </c>
      <c r="R119" s="24" t="n">
        <v>71</v>
      </c>
    </row>
    <row r="120">
      <c r="A120" s="25" t="inlineStr">
        <is>
          <t>GA</t>
        </is>
      </c>
      <c r="B120" s="25" t="n">
        <v>2019</v>
      </c>
      <c r="C120" s="26" t="n">
        <v>1810948</v>
      </c>
      <c r="D120" s="27" t="n">
        <v>9.777100356</v>
      </c>
      <c r="E120" s="28" t="n">
        <v>10765.91</v>
      </c>
      <c r="F120" s="29" t="n">
        <v>0.267</v>
      </c>
      <c r="G120" s="29" t="n">
        <v>0.1628</v>
      </c>
      <c r="H120" s="29" t="n">
        <v>0.0969</v>
      </c>
      <c r="I120" s="29" t="n">
        <v>0.0574</v>
      </c>
      <c r="J120" s="29" t="n">
        <v>0.0214</v>
      </c>
      <c r="K120" s="29" t="n">
        <v>0.0436</v>
      </c>
      <c r="L120" s="29" t="n">
        <v>0.0505</v>
      </c>
      <c r="M120" s="29" t="n">
        <v>0.0455</v>
      </c>
      <c r="N120" s="26" t="n">
        <v>265.2854</v>
      </c>
      <c r="O120" s="26" t="n">
        <v>686.7106</v>
      </c>
      <c r="P120" s="29" t="n">
        <v>0.1886</v>
      </c>
      <c r="Q120" s="29" t="n">
        <v>0.1725</v>
      </c>
      <c r="R120" s="30" t="n">
        <v>71</v>
      </c>
    </row>
    <row r="121">
      <c r="A121" t="inlineStr">
        <is>
          <t>GA</t>
        </is>
      </c>
      <c r="B121" t="n">
        <v>2020</v>
      </c>
      <c r="C121" s="21" t="n">
        <v>1861084</v>
      </c>
      <c r="D121" s="22" t="n">
        <v>9.149350791</v>
      </c>
      <c r="E121" s="15" t="n">
        <v>10422.66</v>
      </c>
      <c r="F121" s="23" t="n">
        <v>0.2643</v>
      </c>
      <c r="G121" s="23" t="n">
        <v>0.1618</v>
      </c>
      <c r="H121" s="23" t="n">
        <v>0.09180000000000001</v>
      </c>
      <c r="I121" s="23" t="n">
        <v>0.0639</v>
      </c>
      <c r="J121" s="23" t="n">
        <v>0.0244</v>
      </c>
      <c r="K121" s="23" t="n">
        <v>0.0443</v>
      </c>
      <c r="L121" s="23" t="n">
        <v>0.0456</v>
      </c>
      <c r="M121" s="23" t="n">
        <v>0.0488</v>
      </c>
      <c r="N121" s="21" t="n">
        <v>229.5938</v>
      </c>
      <c r="O121" s="21" t="n">
        <v>550.9066</v>
      </c>
      <c r="P121" s="23" t="n">
        <v>0.1872</v>
      </c>
      <c r="Q121" s="23" t="n">
        <v>0.1584</v>
      </c>
      <c r="R121" s="24" t="n">
        <v>72</v>
      </c>
    </row>
    <row r="122">
      <c r="A122" s="25" t="inlineStr">
        <is>
          <t>GA</t>
        </is>
      </c>
      <c r="B122" s="25" t="n">
        <v>2021</v>
      </c>
      <c r="C122" s="26" t="n">
        <v>1901313</v>
      </c>
      <c r="D122" s="27" t="n">
        <v>8.884577885000001</v>
      </c>
      <c r="E122" s="28" t="n">
        <v>10872.23</v>
      </c>
      <c r="F122" s="29" t="n">
        <v>0.2566</v>
      </c>
      <c r="G122" s="29" t="n">
        <v>0.173</v>
      </c>
      <c r="H122" s="29" t="n">
        <v>0.1036</v>
      </c>
      <c r="I122" s="29" t="n">
        <v>0.0556</v>
      </c>
      <c r="J122" s="29" t="n">
        <v>0.025</v>
      </c>
      <c r="K122" s="29" t="n">
        <v>0.0426</v>
      </c>
      <c r="L122" s="29" t="n">
        <v>0.0463</v>
      </c>
      <c r="M122" s="29" t="n">
        <v>0.0483</v>
      </c>
      <c r="N122" s="26" t="n">
        <v>220.1911</v>
      </c>
      <c r="O122" s="26" t="n">
        <v>543.4867</v>
      </c>
      <c r="P122" s="29" t="n">
        <v>0.1812</v>
      </c>
      <c r="Q122" s="29" t="n">
        <v>0.1433</v>
      </c>
      <c r="R122" s="30" t="n">
        <v>72</v>
      </c>
    </row>
    <row r="123">
      <c r="A123" t="inlineStr">
        <is>
          <t>GA</t>
        </is>
      </c>
      <c r="B123" t="n">
        <v>2022</v>
      </c>
      <c r="C123" s="21" t="n">
        <v>1941856</v>
      </c>
      <c r="D123" s="22" t="n">
        <v>8.620979577</v>
      </c>
      <c r="E123" s="15" t="n">
        <v>11128.87</v>
      </c>
      <c r="F123" s="23" t="n">
        <v>0.2513</v>
      </c>
      <c r="G123" s="23" t="n">
        <v>0.1798</v>
      </c>
      <c r="H123" s="23" t="n">
        <v>0.1034</v>
      </c>
      <c r="I123" s="23" t="n">
        <v>0.0579</v>
      </c>
      <c r="J123" s="23" t="n">
        <v>0.0272</v>
      </c>
      <c r="K123" s="23" t="n">
        <v>0.0416</v>
      </c>
      <c r="L123" s="23" t="n">
        <v>0.0456</v>
      </c>
      <c r="M123" s="23" t="n">
        <v>0.0502</v>
      </c>
      <c r="N123" s="21" t="n">
        <v>219.5959</v>
      </c>
      <c r="O123" s="21" t="n">
        <v>550.7197</v>
      </c>
      <c r="P123" s="23" t="n">
        <v>0.1828</v>
      </c>
      <c r="Q123" s="23" t="n">
        <v>0.1309</v>
      </c>
      <c r="R123" s="24" t="n">
        <v>72</v>
      </c>
    </row>
    <row r="124">
      <c r="A124" s="25" t="inlineStr">
        <is>
          <t>GA</t>
        </is>
      </c>
      <c r="B124" s="25" t="n">
        <v>2023</v>
      </c>
      <c r="C124" s="26" t="n">
        <v>1986659</v>
      </c>
      <c r="D124" s="27" t="n">
        <v>8.70141696</v>
      </c>
      <c r="E124" s="28" t="n">
        <v>11788.11</v>
      </c>
      <c r="F124" s="29" t="n">
        <v>0.2405</v>
      </c>
      <c r="G124" s="29" t="n">
        <v>0.1848</v>
      </c>
      <c r="H124" s="29" t="n">
        <v>0.1019</v>
      </c>
      <c r="I124" s="29" t="n">
        <v>0.0545</v>
      </c>
      <c r="J124" s="29" t="n">
        <v>0.0379</v>
      </c>
      <c r="K124" s="29" t="n">
        <v>0.0388</v>
      </c>
      <c r="L124" s="29" t="n">
        <v>0.044</v>
      </c>
      <c r="M124" s="29" t="n">
        <v>0.0517</v>
      </c>
      <c r="N124" s="26" t="n">
        <v>221.4395</v>
      </c>
      <c r="O124" s="26" t="n">
        <v>558.702</v>
      </c>
      <c r="P124" s="29" t="n">
        <v>0.1813</v>
      </c>
      <c r="Q124" s="29" t="n">
        <v>0.1183</v>
      </c>
      <c r="R124" s="30" t="n">
        <v>73</v>
      </c>
    </row>
    <row r="125">
      <c r="A125" t="inlineStr">
        <is>
          <t>GA</t>
        </is>
      </c>
      <c r="B125" t="n">
        <v>2024</v>
      </c>
      <c r="C125" s="21" t="n">
        <v>2035215</v>
      </c>
      <c r="D125" s="22" t="n">
        <v>8.874533505</v>
      </c>
      <c r="E125" s="15" t="n">
        <v>12393.08</v>
      </c>
      <c r="F125" s="23" t="n">
        <v>0.2332</v>
      </c>
      <c r="G125" s="23" t="n">
        <v>0.1886</v>
      </c>
      <c r="H125" s="23" t="n">
        <v>0.1003</v>
      </c>
      <c r="I125" s="23" t="n">
        <v>0.0528</v>
      </c>
      <c r="J125" s="23" t="n">
        <v>0.0451</v>
      </c>
      <c r="K125" s="23" t="n">
        <v>0.0369</v>
      </c>
      <c r="L125" s="23" t="n">
        <v>0.0424</v>
      </c>
      <c r="M125" s="23" t="n">
        <v>0.0527</v>
      </c>
      <c r="N125" s="21" t="n">
        <v>224.0577</v>
      </c>
      <c r="O125" s="21" t="n">
        <v>563.9321</v>
      </c>
      <c r="P125" s="23" t="n">
        <v>0.1833</v>
      </c>
      <c r="Q125" s="23" t="n">
        <v>0.1028</v>
      </c>
      <c r="R125" s="24" t="n">
        <v>73</v>
      </c>
    </row>
    <row r="126">
      <c r="A126" s="25" t="inlineStr">
        <is>
          <t>HI</t>
        </is>
      </c>
      <c r="B126" s="25" t="n">
        <v>2014</v>
      </c>
      <c r="C126" s="26" t="n">
        <v>249743</v>
      </c>
      <c r="D126" s="27" t="n">
        <v>0.601629991</v>
      </c>
      <c r="E126" s="28" t="n">
        <v>6004.77</v>
      </c>
      <c r="F126" s="29" t="n">
        <v>0.2901</v>
      </c>
      <c r="G126" s="29" t="n">
        <v>0.1516</v>
      </c>
      <c r="H126" s="29" t="n">
        <v>0.1242</v>
      </c>
      <c r="I126" s="29" t="n">
        <v>0.07489999999999999</v>
      </c>
      <c r="J126" s="29" t="n">
        <v>0.0132</v>
      </c>
      <c r="K126" s="29" t="n">
        <v>0.0166</v>
      </c>
      <c r="L126" s="29" t="n">
        <v>0.0499</v>
      </c>
      <c r="M126" s="29" t="n">
        <v>0.0357</v>
      </c>
      <c r="N126" s="26" t="n">
        <v>167.4585</v>
      </c>
      <c r="O126" s="26" t="n">
        <v>485.7573</v>
      </c>
      <c r="P126" s="29" t="n">
        <v>0.15</v>
      </c>
      <c r="Q126" s="29" t="n">
        <v>0.127</v>
      </c>
      <c r="R126" s="30" t="n">
        <v>73</v>
      </c>
    </row>
    <row r="127">
      <c r="A127" t="inlineStr">
        <is>
          <t>HI</t>
        </is>
      </c>
      <c r="B127" t="n">
        <v>2015</v>
      </c>
      <c r="C127" s="21" t="n">
        <v>257417</v>
      </c>
      <c r="D127" s="22" t="n">
        <v>0.649424094</v>
      </c>
      <c r="E127" s="15" t="n">
        <v>6265.55</v>
      </c>
      <c r="F127" s="23" t="n">
        <v>0.2827</v>
      </c>
      <c r="G127" s="23" t="n">
        <v>0.1535</v>
      </c>
      <c r="H127" s="23" t="n">
        <v>0.1242</v>
      </c>
      <c r="I127" s="23" t="n">
        <v>0.07000000000000001</v>
      </c>
      <c r="J127" s="23" t="n">
        <v>0.0137</v>
      </c>
      <c r="K127" s="23" t="n">
        <v>0.0179</v>
      </c>
      <c r="L127" s="23" t="n">
        <v>0.0486</v>
      </c>
      <c r="M127" s="23" t="n">
        <v>0.0378</v>
      </c>
      <c r="N127" s="21" t="n">
        <v>168.2972</v>
      </c>
      <c r="O127" s="21" t="n">
        <v>503.0005</v>
      </c>
      <c r="P127" s="23" t="n">
        <v>0.152</v>
      </c>
      <c r="Q127" s="23" t="n">
        <v>0.129</v>
      </c>
      <c r="R127" s="24" t="n">
        <v>73</v>
      </c>
    </row>
    <row r="128">
      <c r="A128" s="25" t="inlineStr">
        <is>
          <t>HI</t>
        </is>
      </c>
      <c r="B128" s="25" t="n">
        <v>2016</v>
      </c>
      <c r="C128" s="26" t="n">
        <v>264207</v>
      </c>
      <c r="D128" s="27" t="n">
        <v>0.685355179</v>
      </c>
      <c r="E128" s="28" t="n">
        <v>6441.13</v>
      </c>
      <c r="F128" s="29" t="n">
        <v>0.287</v>
      </c>
      <c r="G128" s="29" t="n">
        <v>0.1572</v>
      </c>
      <c r="H128" s="29" t="n">
        <v>0.1212</v>
      </c>
      <c r="I128" s="29" t="n">
        <v>0.06619999999999999</v>
      </c>
      <c r="J128" s="29" t="n">
        <v>0.012</v>
      </c>
      <c r="K128" s="29" t="n">
        <v>0.0186</v>
      </c>
      <c r="L128" s="29" t="n">
        <v>0.0495</v>
      </c>
      <c r="M128" s="29" t="n">
        <v>0.0393</v>
      </c>
      <c r="N128" s="26" t="n">
        <v>164.4033</v>
      </c>
      <c r="O128" s="26" t="n">
        <v>514.7129</v>
      </c>
      <c r="P128" s="29" t="n">
        <v>0.1513</v>
      </c>
      <c r="Q128" s="29" t="n">
        <v>0.1286</v>
      </c>
      <c r="R128" s="30" t="n">
        <v>73</v>
      </c>
    </row>
    <row r="129">
      <c r="A129" t="inlineStr">
        <is>
          <t>HI</t>
        </is>
      </c>
      <c r="B129" t="n">
        <v>2017</v>
      </c>
      <c r="C129" s="21" t="n">
        <v>271605</v>
      </c>
      <c r="D129" s="22" t="n">
        <v>0.724911112</v>
      </c>
      <c r="E129" s="15" t="n">
        <v>6675.06</v>
      </c>
      <c r="F129" s="23" t="n">
        <v>0.2875</v>
      </c>
      <c r="G129" s="23" t="n">
        <v>0.1642</v>
      </c>
      <c r="H129" s="23" t="n">
        <v>0.117</v>
      </c>
      <c r="I129" s="23" t="n">
        <v>0.0645</v>
      </c>
      <c r="J129" s="23" t="n">
        <v>0.0112</v>
      </c>
      <c r="K129" s="23" t="n">
        <v>0.0198</v>
      </c>
      <c r="L129" s="23" t="n">
        <v>0.0477</v>
      </c>
      <c r="M129" s="23" t="n">
        <v>0.0409</v>
      </c>
      <c r="N129" s="21" t="n">
        <v>161.8048</v>
      </c>
      <c r="O129" s="21" t="n">
        <v>531.4457</v>
      </c>
      <c r="P129" s="23" t="n">
        <v>0.1519</v>
      </c>
      <c r="Q129" s="23" t="n">
        <v>0.1238</v>
      </c>
      <c r="R129" s="24" t="n">
        <v>73</v>
      </c>
    </row>
    <row r="130">
      <c r="A130" s="25" t="inlineStr">
        <is>
          <t>HI</t>
        </is>
      </c>
      <c r="B130" s="25" t="n">
        <v>2018</v>
      </c>
      <c r="C130" s="26" t="n">
        <v>279644</v>
      </c>
      <c r="D130" s="27" t="n">
        <v>0.759140803</v>
      </c>
      <c r="E130" s="28" t="n">
        <v>6913.72</v>
      </c>
      <c r="F130" s="29" t="n">
        <v>0.2639</v>
      </c>
      <c r="G130" s="29" t="n">
        <v>0.1792</v>
      </c>
      <c r="H130" s="29" t="n">
        <v>0.1138</v>
      </c>
      <c r="I130" s="29" t="n">
        <v>0.0684</v>
      </c>
      <c r="J130" s="29" t="n">
        <v>0.0128</v>
      </c>
      <c r="K130" s="29" t="n">
        <v>0.0207</v>
      </c>
      <c r="L130" s="29" t="n">
        <v>0.0464</v>
      </c>
      <c r="M130" s="29" t="n">
        <v>0.0418</v>
      </c>
      <c r="N130" s="26" t="n">
        <v>150.9717</v>
      </c>
      <c r="O130" s="26" t="n">
        <v>522.6953999999999</v>
      </c>
      <c r="P130" s="29" t="n">
        <v>0.1482</v>
      </c>
      <c r="Q130" s="29" t="n">
        <v>0.1165</v>
      </c>
      <c r="R130" s="30" t="n">
        <v>73</v>
      </c>
    </row>
    <row r="131">
      <c r="A131" t="inlineStr">
        <is>
          <t>HI</t>
        </is>
      </c>
      <c r="B131" t="n">
        <v>2019</v>
      </c>
      <c r="C131" s="21" t="n">
        <v>286844</v>
      </c>
      <c r="D131" s="22" t="n">
        <v>0.7883775079999999</v>
      </c>
      <c r="E131" s="15" t="n">
        <v>7127.67</v>
      </c>
      <c r="F131" s="23" t="n">
        <v>0.2577</v>
      </c>
      <c r="G131" s="23" t="n">
        <v>0.1814</v>
      </c>
      <c r="H131" s="23" t="n">
        <v>0.1144</v>
      </c>
      <c r="I131" s="23" t="n">
        <v>0.06759999999999999</v>
      </c>
      <c r="J131" s="23" t="n">
        <v>0.0119</v>
      </c>
      <c r="K131" s="23" t="n">
        <v>0.0201</v>
      </c>
      <c r="L131" s="23" t="n">
        <v>0.0471</v>
      </c>
      <c r="M131" s="23" t="n">
        <v>0.0435</v>
      </c>
      <c r="N131" s="21" t="n">
        <v>152.2132</v>
      </c>
      <c r="O131" s="21" t="n">
        <v>538.3607</v>
      </c>
      <c r="P131" s="23" t="n">
        <v>0.147</v>
      </c>
      <c r="Q131" s="23" t="n">
        <v>0.1127</v>
      </c>
      <c r="R131" s="24" t="n">
        <v>73</v>
      </c>
    </row>
    <row r="132">
      <c r="A132" s="25" t="inlineStr">
        <is>
          <t>HI</t>
        </is>
      </c>
      <c r="B132" s="25" t="n">
        <v>2020</v>
      </c>
      <c r="C132" s="26" t="n">
        <v>293932</v>
      </c>
      <c r="D132" s="27" t="n">
        <v>0.733648231</v>
      </c>
      <c r="E132" s="28" t="n">
        <v>6658.94</v>
      </c>
      <c r="F132" s="29" t="n">
        <v>0.2505</v>
      </c>
      <c r="G132" s="29" t="n">
        <v>0.1827</v>
      </c>
      <c r="H132" s="29" t="n">
        <v>0.1083</v>
      </c>
      <c r="I132" s="29" t="n">
        <v>0.07149999999999999</v>
      </c>
      <c r="J132" s="29" t="n">
        <v>0.0138</v>
      </c>
      <c r="K132" s="29" t="n">
        <v>0.0232</v>
      </c>
      <c r="L132" s="29" t="n">
        <v>0.0477</v>
      </c>
      <c r="M132" s="29" t="n">
        <v>0.0457</v>
      </c>
      <c r="N132" s="26" t="n">
        <v>129.9569</v>
      </c>
      <c r="O132" s="26" t="n">
        <v>417.2725</v>
      </c>
      <c r="P132" s="29" t="n">
        <v>0.1512</v>
      </c>
      <c r="Q132" s="29" t="n">
        <v>0.1111</v>
      </c>
      <c r="R132" s="30" t="n">
        <v>74</v>
      </c>
    </row>
    <row r="133">
      <c r="A133" t="inlineStr">
        <is>
          <t>HI</t>
        </is>
      </c>
      <c r="B133" t="n">
        <v>2021</v>
      </c>
      <c r="C133" s="21" t="n">
        <v>301256</v>
      </c>
      <c r="D133" s="22" t="n">
        <v>0.790757991</v>
      </c>
      <c r="E133" s="15" t="n">
        <v>7312.62</v>
      </c>
      <c r="F133" s="23" t="n">
        <v>0.2478</v>
      </c>
      <c r="G133" s="23" t="n">
        <v>0.1914</v>
      </c>
      <c r="H133" s="23" t="n">
        <v>0.1183</v>
      </c>
      <c r="I133" s="23" t="n">
        <v>0.0693</v>
      </c>
      <c r="J133" s="23" t="n">
        <v>0.014</v>
      </c>
      <c r="K133" s="23" t="n">
        <v>0.0232</v>
      </c>
      <c r="L133" s="23" t="n">
        <v>0.0473</v>
      </c>
      <c r="M133" s="23" t="n">
        <v>0.0463</v>
      </c>
      <c r="N133" s="21" t="n">
        <v>131.3901</v>
      </c>
      <c r="O133" s="21" t="n">
        <v>425.6677</v>
      </c>
      <c r="P133" s="23" t="n">
        <v>0.1461</v>
      </c>
      <c r="Q133" s="23" t="n">
        <v>0.1077</v>
      </c>
      <c r="R133" s="24" t="n">
        <v>74</v>
      </c>
    </row>
    <row r="134">
      <c r="A134" s="25" t="inlineStr">
        <is>
          <t>HI</t>
        </is>
      </c>
      <c r="B134" s="25" t="n">
        <v>2022</v>
      </c>
      <c r="C134" s="26" t="n">
        <v>308028</v>
      </c>
      <c r="D134" s="27" t="n">
        <v>0.8063802799999999</v>
      </c>
      <c r="E134" s="28" t="n">
        <v>7650.67</v>
      </c>
      <c r="F134" s="29" t="n">
        <v>0.2494</v>
      </c>
      <c r="G134" s="29" t="n">
        <v>0.1969</v>
      </c>
      <c r="H134" s="29" t="n">
        <v>0.116</v>
      </c>
      <c r="I134" s="29" t="n">
        <v>0.079</v>
      </c>
      <c r="J134" s="29" t="n">
        <v>0.0145</v>
      </c>
      <c r="K134" s="29" t="n">
        <v>0.0227</v>
      </c>
      <c r="L134" s="29" t="n">
        <v>0.0468</v>
      </c>
      <c r="M134" s="29" t="n">
        <v>0.0451</v>
      </c>
      <c r="N134" s="26" t="n">
        <v>135.6262</v>
      </c>
      <c r="O134" s="26" t="n">
        <v>466.1385</v>
      </c>
      <c r="P134" s="29" t="n">
        <v>0.1457</v>
      </c>
      <c r="Q134" s="29" t="n">
        <v>0.1021</v>
      </c>
      <c r="R134" s="30" t="n">
        <v>74</v>
      </c>
    </row>
    <row r="135">
      <c r="A135" t="inlineStr">
        <is>
          <t>HI</t>
        </is>
      </c>
      <c r="B135" t="n">
        <v>2023</v>
      </c>
      <c r="C135" s="21" t="n">
        <v>313961</v>
      </c>
      <c r="D135" s="22" t="n">
        <v>0.838030807</v>
      </c>
      <c r="E135" s="15" t="n">
        <v>8202.799999999999</v>
      </c>
      <c r="F135" s="23" t="n">
        <v>0.2404</v>
      </c>
      <c r="G135" s="23" t="n">
        <v>0.2088</v>
      </c>
      <c r="H135" s="23" t="n">
        <v>0.1131</v>
      </c>
      <c r="I135" s="23" t="n">
        <v>0.0755</v>
      </c>
      <c r="J135" s="23" t="n">
        <v>0.0267</v>
      </c>
      <c r="K135" s="23" t="n">
        <v>0.0207</v>
      </c>
      <c r="L135" s="23" t="n">
        <v>0.0464</v>
      </c>
      <c r="M135" s="23" t="n">
        <v>0.0496</v>
      </c>
      <c r="N135" s="21" t="n">
        <v>144.0821</v>
      </c>
      <c r="O135" s="21" t="n">
        <v>490.7697</v>
      </c>
      <c r="P135" s="23" t="n">
        <v>0.1506</v>
      </c>
      <c r="Q135" s="23" t="n">
        <v>0.09470000000000001</v>
      </c>
      <c r="R135" s="24" t="n">
        <v>75</v>
      </c>
    </row>
    <row r="136">
      <c r="A136" s="25" t="inlineStr">
        <is>
          <t>HI</t>
        </is>
      </c>
      <c r="B136" s="25" t="n">
        <v>2024</v>
      </c>
      <c r="C136" s="26" t="n">
        <v>319864</v>
      </c>
      <c r="D136" s="27" t="n">
        <v>0.872842019</v>
      </c>
      <c r="E136" s="28" t="n">
        <v>8621.85</v>
      </c>
      <c r="F136" s="29" t="n">
        <v>0.235</v>
      </c>
      <c r="G136" s="29" t="n">
        <v>0.2153</v>
      </c>
      <c r="H136" s="29" t="n">
        <v>0.112</v>
      </c>
      <c r="I136" s="29" t="n">
        <v>0.07630000000000001</v>
      </c>
      <c r="J136" s="29" t="n">
        <v>0.0186</v>
      </c>
      <c r="K136" s="29" t="n">
        <v>0.0212</v>
      </c>
      <c r="L136" s="29" t="n">
        <v>0.0434</v>
      </c>
      <c r="M136" s="29" t="n">
        <v>0.0502</v>
      </c>
      <c r="N136" s="26" t="n">
        <v>148.218</v>
      </c>
      <c r="O136" s="26" t="n">
        <v>506.5293</v>
      </c>
      <c r="P136" s="29" t="n">
        <v>0.1532</v>
      </c>
      <c r="Q136" s="29" t="n">
        <v>0.0902</v>
      </c>
      <c r="R136" s="30" t="n">
        <v>75</v>
      </c>
    </row>
    <row r="137">
      <c r="A137" t="inlineStr">
        <is>
          <t>IA</t>
        </is>
      </c>
      <c r="B137" t="n">
        <v>2014</v>
      </c>
      <c r="C137" s="21" t="n">
        <v>589604</v>
      </c>
      <c r="D137" s="22" t="n">
        <v>3.609292443</v>
      </c>
      <c r="E137" s="15" t="n">
        <v>7862.27</v>
      </c>
      <c r="F137" s="23" t="n">
        <v>0.2884</v>
      </c>
      <c r="G137" s="23" t="n">
        <v>0.2019</v>
      </c>
      <c r="H137" s="23" t="n">
        <v>0.0843</v>
      </c>
      <c r="I137" s="23" t="n">
        <v>0.1096</v>
      </c>
      <c r="J137" s="23" t="n">
        <v>0.0266</v>
      </c>
      <c r="K137" s="23" t="n">
        <v>0.0283</v>
      </c>
      <c r="L137" s="23" t="n">
        <v>0.0504</v>
      </c>
      <c r="M137" s="23" t="n">
        <v>0.0341</v>
      </c>
      <c r="N137" s="21" t="n">
        <v>252.8618</v>
      </c>
      <c r="O137" s="21" t="n">
        <v>633.0890000000001</v>
      </c>
      <c r="P137" s="23" t="n">
        <v>0.1549</v>
      </c>
      <c r="Q137" s="23" t="n">
        <v>0.1746</v>
      </c>
      <c r="R137" s="24" t="n">
        <v>73</v>
      </c>
    </row>
    <row r="138">
      <c r="A138" s="25" t="inlineStr">
        <is>
          <t>IA</t>
        </is>
      </c>
      <c r="B138" s="25" t="n">
        <v>2015</v>
      </c>
      <c r="C138" s="26" t="n">
        <v>601118</v>
      </c>
      <c r="D138" s="27" t="n">
        <v>3.80251516</v>
      </c>
      <c r="E138" s="28" t="n">
        <v>8187.82</v>
      </c>
      <c r="F138" s="29" t="n">
        <v>0.2862</v>
      </c>
      <c r="G138" s="29" t="n">
        <v>0.2058</v>
      </c>
      <c r="H138" s="29" t="n">
        <v>0.0838</v>
      </c>
      <c r="I138" s="29" t="n">
        <v>0.1053</v>
      </c>
      <c r="J138" s="29" t="n">
        <v>0.0269</v>
      </c>
      <c r="K138" s="29" t="n">
        <v>0.0273</v>
      </c>
      <c r="L138" s="29" t="n">
        <v>0.0489</v>
      </c>
      <c r="M138" s="29" t="n">
        <v>0.0332</v>
      </c>
      <c r="N138" s="26" t="n">
        <v>254.9617</v>
      </c>
      <c r="O138" s="26" t="n">
        <v>652.6762</v>
      </c>
      <c r="P138" s="29" t="n">
        <v>0.1572</v>
      </c>
      <c r="Q138" s="29" t="n">
        <v>0.1725</v>
      </c>
      <c r="R138" s="30" t="n">
        <v>73</v>
      </c>
    </row>
    <row r="139">
      <c r="A139" t="inlineStr">
        <is>
          <t>IA</t>
        </is>
      </c>
      <c r="B139" t="n">
        <v>2016</v>
      </c>
      <c r="C139" s="21" t="n">
        <v>614453</v>
      </c>
      <c r="D139" s="22" t="n">
        <v>3.747507733</v>
      </c>
      <c r="E139" s="15" t="n">
        <v>8184.74</v>
      </c>
      <c r="F139" s="23" t="n">
        <v>0.2822</v>
      </c>
      <c r="G139" s="23" t="n">
        <v>0.2185</v>
      </c>
      <c r="H139" s="23" t="n">
        <v>0.0808</v>
      </c>
      <c r="I139" s="23" t="n">
        <v>0.0979</v>
      </c>
      <c r="J139" s="23" t="n">
        <v>0.0223</v>
      </c>
      <c r="K139" s="23" t="n">
        <v>0.0259</v>
      </c>
      <c r="L139" s="23" t="n">
        <v>0.0481</v>
      </c>
      <c r="M139" s="23" t="n">
        <v>0.0357</v>
      </c>
      <c r="N139" s="21" t="n">
        <v>244.3777</v>
      </c>
      <c r="O139" s="21" t="n">
        <v>646.2363</v>
      </c>
      <c r="P139" s="23" t="n">
        <v>0.1552</v>
      </c>
      <c r="Q139" s="23" t="n">
        <v>0.1744</v>
      </c>
      <c r="R139" s="24" t="n">
        <v>72</v>
      </c>
    </row>
    <row r="140">
      <c r="A140" s="25" t="inlineStr">
        <is>
          <t>IA</t>
        </is>
      </c>
      <c r="B140" s="25" t="n">
        <v>2017</v>
      </c>
      <c r="C140" s="26" t="n">
        <v>627084</v>
      </c>
      <c r="D140" s="27" t="n">
        <v>3.930048844</v>
      </c>
      <c r="E140" s="28" t="n">
        <v>8506.049999999999</v>
      </c>
      <c r="F140" s="29" t="n">
        <v>0.2777</v>
      </c>
      <c r="G140" s="29" t="n">
        <v>0.2289</v>
      </c>
      <c r="H140" s="29" t="n">
        <v>0.07870000000000001</v>
      </c>
      <c r="I140" s="29" t="n">
        <v>0.09569999999999999</v>
      </c>
      <c r="J140" s="29" t="n">
        <v>0.0202</v>
      </c>
      <c r="K140" s="29" t="n">
        <v>0.0254</v>
      </c>
      <c r="L140" s="29" t="n">
        <v>0.0465</v>
      </c>
      <c r="M140" s="29" t="n">
        <v>0.0348</v>
      </c>
      <c r="N140" s="26" t="n">
        <v>244.5923</v>
      </c>
      <c r="O140" s="26" t="n">
        <v>652.6221</v>
      </c>
      <c r="P140" s="29" t="n">
        <v>0.155</v>
      </c>
      <c r="Q140" s="29" t="n">
        <v>0.1703</v>
      </c>
      <c r="R140" s="30" t="n">
        <v>72</v>
      </c>
    </row>
    <row r="141">
      <c r="A141" t="inlineStr">
        <is>
          <t>IA</t>
        </is>
      </c>
      <c r="B141" t="n">
        <v>2018</v>
      </c>
      <c r="C141" s="21" t="n">
        <v>642756</v>
      </c>
      <c r="D141" s="22" t="n">
        <v>4.050662417</v>
      </c>
      <c r="E141" s="15" t="n">
        <v>8815.559999999999</v>
      </c>
      <c r="F141" s="23" t="n">
        <v>0.2639</v>
      </c>
      <c r="G141" s="23" t="n">
        <v>0.2444</v>
      </c>
      <c r="H141" s="23" t="n">
        <v>0.0762</v>
      </c>
      <c r="I141" s="23" t="n">
        <v>0.0892</v>
      </c>
      <c r="J141" s="23" t="n">
        <v>0.0214</v>
      </c>
      <c r="K141" s="23" t="n">
        <v>0.0247</v>
      </c>
      <c r="L141" s="23" t="n">
        <v>0.0461</v>
      </c>
      <c r="M141" s="23" t="n">
        <v>0.0347</v>
      </c>
      <c r="N141" s="21" t="n">
        <v>232.3859</v>
      </c>
      <c r="O141" s="21" t="n">
        <v>625.7198</v>
      </c>
      <c r="P141" s="23" t="n">
        <v>0.1518</v>
      </c>
      <c r="Q141" s="23" t="n">
        <v>0.1554</v>
      </c>
      <c r="R141" s="24" t="n">
        <v>73</v>
      </c>
    </row>
    <row r="142">
      <c r="A142" s="25" t="inlineStr">
        <is>
          <t>IA</t>
        </is>
      </c>
      <c r="B142" s="25" t="n">
        <v>2019</v>
      </c>
      <c r="C142" s="26" t="n">
        <v>655766</v>
      </c>
      <c r="D142" s="27" t="n">
        <v>4.126195518</v>
      </c>
      <c r="E142" s="28" t="n">
        <v>9157.24</v>
      </c>
      <c r="F142" s="29" t="n">
        <v>0.2568</v>
      </c>
      <c r="G142" s="29" t="n">
        <v>0.2488</v>
      </c>
      <c r="H142" s="29" t="n">
        <v>0.07389999999999999</v>
      </c>
      <c r="I142" s="29" t="n">
        <v>0.0898</v>
      </c>
      <c r="J142" s="29" t="n">
        <v>0.021</v>
      </c>
      <c r="K142" s="29" t="n">
        <v>0.0234</v>
      </c>
      <c r="L142" s="29" t="n">
        <v>0.0464</v>
      </c>
      <c r="M142" s="29" t="n">
        <v>0.0369</v>
      </c>
      <c r="N142" s="26" t="n">
        <v>226.6763</v>
      </c>
      <c r="O142" s="26" t="n">
        <v>601.324</v>
      </c>
      <c r="P142" s="29" t="n">
        <v>0.1504</v>
      </c>
      <c r="Q142" s="29" t="n">
        <v>0.1366</v>
      </c>
      <c r="R142" s="30" t="n">
        <v>73</v>
      </c>
    </row>
    <row r="143">
      <c r="A143" t="inlineStr">
        <is>
          <t>IA</t>
        </is>
      </c>
      <c r="B143" t="n">
        <v>2020</v>
      </c>
      <c r="C143" s="21" t="n">
        <v>668784</v>
      </c>
      <c r="D143" s="22" t="n">
        <v>3.972854732</v>
      </c>
      <c r="E143" s="15" t="n">
        <v>8919.35</v>
      </c>
      <c r="F143" s="23" t="n">
        <v>0.2467</v>
      </c>
      <c r="G143" s="23" t="n">
        <v>0.2474</v>
      </c>
      <c r="H143" s="23" t="n">
        <v>0.0679</v>
      </c>
      <c r="I143" s="23" t="n">
        <v>0.1026</v>
      </c>
      <c r="J143" s="23" t="n">
        <v>0.0253</v>
      </c>
      <c r="K143" s="23" t="n">
        <v>0.0247</v>
      </c>
      <c r="L143" s="23" t="n">
        <v>0.0413</v>
      </c>
      <c r="M143" s="23" t="n">
        <v>0.0389</v>
      </c>
      <c r="N143" s="21" t="n">
        <v>195.6491</v>
      </c>
      <c r="O143" s="21" t="n">
        <v>509.6089</v>
      </c>
      <c r="P143" s="23" t="n">
        <v>0.1524</v>
      </c>
      <c r="Q143" s="23" t="n">
        <v>0.1329</v>
      </c>
      <c r="R143" s="24" t="n">
        <v>73</v>
      </c>
    </row>
    <row r="144">
      <c r="A144" s="25" t="inlineStr">
        <is>
          <t>IA</t>
        </is>
      </c>
      <c r="B144" s="25" t="n">
        <v>2021</v>
      </c>
      <c r="C144" s="26" t="n">
        <v>677843</v>
      </c>
      <c r="D144" s="27" t="n">
        <v>4.235474445</v>
      </c>
      <c r="E144" s="28" t="n">
        <v>9793.280000000001</v>
      </c>
      <c r="F144" s="29" t="n">
        <v>0.2262</v>
      </c>
      <c r="G144" s="29" t="n">
        <v>0.2741</v>
      </c>
      <c r="H144" s="29" t="n">
        <v>0.0745</v>
      </c>
      <c r="I144" s="29" t="n">
        <v>0.08740000000000001</v>
      </c>
      <c r="J144" s="29" t="n">
        <v>0.0267</v>
      </c>
      <c r="K144" s="29" t="n">
        <v>0.0234</v>
      </c>
      <c r="L144" s="29" t="n">
        <v>0.0424</v>
      </c>
      <c r="M144" s="29" t="n">
        <v>0.0357</v>
      </c>
      <c r="N144" s="26" t="n">
        <v>188.7382</v>
      </c>
      <c r="O144" s="26" t="n">
        <v>539.8786</v>
      </c>
      <c r="P144" s="29" t="n">
        <v>0.152</v>
      </c>
      <c r="Q144" s="29" t="n">
        <v>0.1286</v>
      </c>
      <c r="R144" s="30" t="n">
        <v>73</v>
      </c>
    </row>
    <row r="145">
      <c r="A145" t="inlineStr">
        <is>
          <t>IA</t>
        </is>
      </c>
      <c r="B145" t="n">
        <v>2022</v>
      </c>
      <c r="C145" s="21" t="n">
        <v>690478</v>
      </c>
      <c r="D145" s="22" t="n">
        <v>4.185926302</v>
      </c>
      <c r="E145" s="15" t="n">
        <v>10038.6</v>
      </c>
      <c r="F145" s="23" t="n">
        <v>0.2189</v>
      </c>
      <c r="G145" s="23" t="n">
        <v>0.2828</v>
      </c>
      <c r="H145" s="23" t="n">
        <v>0.07240000000000001</v>
      </c>
      <c r="I145" s="23" t="n">
        <v>0.08749999999999999</v>
      </c>
      <c r="J145" s="23" t="n">
        <v>0.0267</v>
      </c>
      <c r="K145" s="23" t="n">
        <v>0.0213</v>
      </c>
      <c r="L145" s="23" t="n">
        <v>0.0419</v>
      </c>
      <c r="M145" s="23" t="n">
        <v>0.0373</v>
      </c>
      <c r="N145" s="21" t="n">
        <v>184.1274</v>
      </c>
      <c r="O145" s="21" t="n">
        <v>548.4564</v>
      </c>
      <c r="P145" s="23" t="n">
        <v>0.145</v>
      </c>
      <c r="Q145" s="23" t="n">
        <v>0.1239</v>
      </c>
      <c r="R145" s="24" t="n">
        <v>73</v>
      </c>
    </row>
    <row r="146">
      <c r="A146" s="25" t="inlineStr">
        <is>
          <t>IA</t>
        </is>
      </c>
      <c r="B146" s="25" t="n">
        <v>2023</v>
      </c>
      <c r="C146" s="26" t="n">
        <v>703006</v>
      </c>
      <c r="D146" s="27" t="n">
        <v>4.268147839</v>
      </c>
      <c r="E146" s="28" t="n">
        <v>10706.99</v>
      </c>
      <c r="F146" s="29" t="n">
        <v>0.2131</v>
      </c>
      <c r="G146" s="29" t="n">
        <v>0.2884</v>
      </c>
      <c r="H146" s="29" t="n">
        <v>0.0704</v>
      </c>
      <c r="I146" s="29" t="n">
        <v>0.07729999999999999</v>
      </c>
      <c r="J146" s="29" t="n">
        <v>0.0357</v>
      </c>
      <c r="K146" s="29" t="n">
        <v>0.0194</v>
      </c>
      <c r="L146" s="29" t="n">
        <v>0.04</v>
      </c>
      <c r="M146" s="29" t="n">
        <v>0.0365</v>
      </c>
      <c r="N146" s="26" t="n">
        <v>185.2837</v>
      </c>
      <c r="O146" s="26" t="n">
        <v>538.1505</v>
      </c>
      <c r="P146" s="29" t="n">
        <v>0.1476</v>
      </c>
      <c r="Q146" s="29" t="n">
        <v>0.1068</v>
      </c>
      <c r="R146" s="30" t="n">
        <v>74</v>
      </c>
    </row>
    <row r="147">
      <c r="A147" t="inlineStr">
        <is>
          <t>IA</t>
        </is>
      </c>
      <c r="B147" t="n">
        <v>2024</v>
      </c>
      <c r="C147" s="21" t="n">
        <v>717756</v>
      </c>
      <c r="D147" s="22" t="n">
        <v>4.415965532</v>
      </c>
      <c r="E147" s="15" t="n">
        <v>11256.57</v>
      </c>
      <c r="F147" s="23" t="n">
        <v>0.2097</v>
      </c>
      <c r="G147" s="23" t="n">
        <v>0.2998</v>
      </c>
      <c r="H147" s="23" t="n">
        <v>0.06950000000000001</v>
      </c>
      <c r="I147" s="23" t="n">
        <v>0.0732</v>
      </c>
      <c r="J147" s="23" t="n">
        <v>0.0325</v>
      </c>
      <c r="K147" s="23" t="n">
        <v>0.0184</v>
      </c>
      <c r="L147" s="23" t="n">
        <v>0.0381</v>
      </c>
      <c r="M147" s="23" t="n">
        <v>0.0366</v>
      </c>
      <c r="N147" s="21" t="n">
        <v>185.3704</v>
      </c>
      <c r="O147" s="21" t="n">
        <v>542.0251</v>
      </c>
      <c r="P147" s="23" t="n">
        <v>0.1542</v>
      </c>
      <c r="Q147" s="23" t="n">
        <v>0.0927</v>
      </c>
      <c r="R147" s="24" t="n">
        <v>74</v>
      </c>
    </row>
    <row r="148">
      <c r="A148" s="25" t="inlineStr">
        <is>
          <t>ID</t>
        </is>
      </c>
      <c r="B148" s="25" t="n">
        <v>2014</v>
      </c>
      <c r="C148" s="26" t="n">
        <v>284359</v>
      </c>
      <c r="D148" s="27" t="n">
        <v>1.319424873</v>
      </c>
      <c r="E148" s="28" t="n">
        <v>7689.05</v>
      </c>
      <c r="F148" s="29" t="n">
        <v>0.272</v>
      </c>
      <c r="G148" s="29" t="n">
        <v>0.2126</v>
      </c>
      <c r="H148" s="29" t="n">
        <v>0.0735</v>
      </c>
      <c r="I148" s="29" t="n">
        <v>0.0853</v>
      </c>
      <c r="J148" s="29" t="n">
        <v>0.0318</v>
      </c>
      <c r="K148" s="29" t="n">
        <v>0.0513</v>
      </c>
      <c r="L148" s="29" t="n">
        <v>0.0538</v>
      </c>
      <c r="M148" s="29" t="n">
        <v>0.0517</v>
      </c>
      <c r="N148" s="26" t="n">
        <v>210.8416</v>
      </c>
      <c r="O148" s="26" t="n">
        <v>603.0780999999999</v>
      </c>
      <c r="P148" s="29" t="n">
        <v>0.1342</v>
      </c>
      <c r="Q148" s="29" t="n">
        <v>0.1954</v>
      </c>
      <c r="R148" s="30" t="n">
        <v>71</v>
      </c>
    </row>
    <row r="149">
      <c r="A149" t="inlineStr">
        <is>
          <t>ID</t>
        </is>
      </c>
      <c r="B149" t="n">
        <v>2015</v>
      </c>
      <c r="C149" s="21" t="n">
        <v>295917</v>
      </c>
      <c r="D149" s="22" t="n">
        <v>1.395298002</v>
      </c>
      <c r="E149" s="15" t="n">
        <v>7946.34</v>
      </c>
      <c r="F149" s="23" t="n">
        <v>0.2624</v>
      </c>
      <c r="G149" s="23" t="n">
        <v>0.2203</v>
      </c>
      <c r="H149" s="23" t="n">
        <v>0.0737</v>
      </c>
      <c r="I149" s="23" t="n">
        <v>0.0806</v>
      </c>
      <c r="J149" s="23" t="n">
        <v>0.0325</v>
      </c>
      <c r="K149" s="23" t="n">
        <v>0.0541</v>
      </c>
      <c r="L149" s="23" t="n">
        <v>0.0527</v>
      </c>
      <c r="M149" s="23" t="n">
        <v>0.0493</v>
      </c>
      <c r="N149" s="21" t="n">
        <v>209.7101</v>
      </c>
      <c r="O149" s="21" t="n">
        <v>620.7301</v>
      </c>
      <c r="P149" s="23" t="n">
        <v>0.1306</v>
      </c>
      <c r="Q149" s="23" t="n">
        <v>0.197</v>
      </c>
      <c r="R149" s="24" t="n">
        <v>71</v>
      </c>
    </row>
    <row r="150">
      <c r="A150" s="25" t="inlineStr">
        <is>
          <t>ID</t>
        </is>
      </c>
      <c r="B150" s="25" t="n">
        <v>2016</v>
      </c>
      <c r="C150" s="26" t="n">
        <v>308167</v>
      </c>
      <c r="D150" s="27" t="n">
        <v>1.477692751</v>
      </c>
      <c r="E150" s="28" t="n">
        <v>8013.91</v>
      </c>
      <c r="F150" s="29" t="n">
        <v>0.2617</v>
      </c>
      <c r="G150" s="29" t="n">
        <v>0.2326</v>
      </c>
      <c r="H150" s="29" t="n">
        <v>0.07049999999999999</v>
      </c>
      <c r="I150" s="29" t="n">
        <v>0.0775</v>
      </c>
      <c r="J150" s="29" t="n">
        <v>0.0257</v>
      </c>
      <c r="K150" s="29" t="n">
        <v>0.0582</v>
      </c>
      <c r="L150" s="29" t="n">
        <v>0.0512</v>
      </c>
      <c r="M150" s="29" t="n">
        <v>0.0491</v>
      </c>
      <c r="N150" s="26" t="n">
        <v>205.5469</v>
      </c>
      <c r="O150" s="26" t="n">
        <v>624.3905999999999</v>
      </c>
      <c r="P150" s="29" t="n">
        <v>0.1301</v>
      </c>
      <c r="Q150" s="29" t="n">
        <v>0.1942</v>
      </c>
      <c r="R150" s="30" t="n">
        <v>71</v>
      </c>
    </row>
    <row r="151">
      <c r="A151" t="inlineStr">
        <is>
          <t>ID</t>
        </is>
      </c>
      <c r="B151" t="n">
        <v>2017</v>
      </c>
      <c r="C151" s="21" t="n">
        <v>320592</v>
      </c>
      <c r="D151" s="22" t="n">
        <v>1.576234765</v>
      </c>
      <c r="E151" s="15" t="n">
        <v>8156.96</v>
      </c>
      <c r="F151" s="23" t="n">
        <v>0.2599</v>
      </c>
      <c r="G151" s="23" t="n">
        <v>0.2453</v>
      </c>
      <c r="H151" s="23" t="n">
        <v>0.0692</v>
      </c>
      <c r="I151" s="23" t="n">
        <v>0.0736</v>
      </c>
      <c r="J151" s="23" t="n">
        <v>0.0225</v>
      </c>
      <c r="K151" s="23" t="n">
        <v>0.0573</v>
      </c>
      <c r="L151" s="23" t="n">
        <v>0.0498</v>
      </c>
      <c r="M151" s="23" t="n">
        <v>0.0484</v>
      </c>
      <c r="N151" s="21" t="n">
        <v>204.406</v>
      </c>
      <c r="O151" s="21" t="n">
        <v>620.2662</v>
      </c>
      <c r="P151" s="23" t="n">
        <v>0.135</v>
      </c>
      <c r="Q151" s="23" t="n">
        <v>0.1918</v>
      </c>
      <c r="R151" s="24" t="n">
        <v>71</v>
      </c>
    </row>
    <row r="152">
      <c r="A152" s="25" t="inlineStr">
        <is>
          <t>ID</t>
        </is>
      </c>
      <c r="B152" s="25" t="n">
        <v>2018</v>
      </c>
      <c r="C152" s="26" t="n">
        <v>335256</v>
      </c>
      <c r="D152" s="27" t="n">
        <v>1.672519527</v>
      </c>
      <c r="E152" s="28" t="n">
        <v>8465.02</v>
      </c>
      <c r="F152" s="29" t="n">
        <v>0.2489</v>
      </c>
      <c r="G152" s="29" t="n">
        <v>0.2647</v>
      </c>
      <c r="H152" s="29" t="n">
        <v>0.0682</v>
      </c>
      <c r="I152" s="29" t="n">
        <v>0.0698</v>
      </c>
      <c r="J152" s="29" t="n">
        <v>0.0242</v>
      </c>
      <c r="K152" s="29" t="n">
        <v>0.0544</v>
      </c>
      <c r="L152" s="29" t="n">
        <v>0.0497</v>
      </c>
      <c r="M152" s="29" t="n">
        <v>0.0448</v>
      </c>
      <c r="N152" s="26" t="n">
        <v>195.7789</v>
      </c>
      <c r="O152" s="26" t="n">
        <v>605.1928</v>
      </c>
      <c r="P152" s="29" t="n">
        <v>0.1349</v>
      </c>
      <c r="Q152" s="29" t="n">
        <v>0.1797</v>
      </c>
      <c r="R152" s="30" t="n">
        <v>71</v>
      </c>
    </row>
    <row r="153">
      <c r="A153" t="inlineStr">
        <is>
          <t>ID</t>
        </is>
      </c>
      <c r="B153" t="n">
        <v>2019</v>
      </c>
      <c r="C153" s="21" t="n">
        <v>349820</v>
      </c>
      <c r="D153" s="22" t="n">
        <v>1.706360263</v>
      </c>
      <c r="E153" s="15" t="n">
        <v>8580.02</v>
      </c>
      <c r="F153" s="23" t="n">
        <v>0.2409</v>
      </c>
      <c r="G153" s="23" t="n">
        <v>0.2691</v>
      </c>
      <c r="H153" s="23" t="n">
        <v>0.0682</v>
      </c>
      <c r="I153" s="23" t="n">
        <v>0.06710000000000001</v>
      </c>
      <c r="J153" s="23" t="n">
        <v>0.0247</v>
      </c>
      <c r="K153" s="23" t="n">
        <v>0.0476</v>
      </c>
      <c r="L153" s="23" t="n">
        <v>0.051</v>
      </c>
      <c r="M153" s="23" t="n">
        <v>0.0459</v>
      </c>
      <c r="N153" s="21" t="n">
        <v>185.0701</v>
      </c>
      <c r="O153" s="21" t="n">
        <v>567.6251</v>
      </c>
      <c r="P153" s="23" t="n">
        <v>0.1299</v>
      </c>
      <c r="Q153" s="23" t="n">
        <v>0.1635</v>
      </c>
      <c r="R153" s="24" t="n">
        <v>71</v>
      </c>
    </row>
    <row r="154">
      <c r="A154" s="25" t="inlineStr">
        <is>
          <t>ID</t>
        </is>
      </c>
      <c r="B154" s="25" t="n">
        <v>2020</v>
      </c>
      <c r="C154" s="26" t="n">
        <v>364880</v>
      </c>
      <c r="D154" s="27" t="n">
        <v>1.638227284</v>
      </c>
      <c r="E154" s="28" t="n">
        <v>8269.700000000001</v>
      </c>
      <c r="F154" s="29" t="n">
        <v>0.2313</v>
      </c>
      <c r="G154" s="29" t="n">
        <v>0.2767</v>
      </c>
      <c r="H154" s="29" t="n">
        <v>0.0646</v>
      </c>
      <c r="I154" s="29" t="n">
        <v>0.0713</v>
      </c>
      <c r="J154" s="29" t="n">
        <v>0.0289</v>
      </c>
      <c r="K154" s="29" t="n">
        <v>0.044</v>
      </c>
      <c r="L154" s="29" t="n">
        <v>0.0463</v>
      </c>
      <c r="M154" s="29" t="n">
        <v>0.0502</v>
      </c>
      <c r="N154" s="26" t="n">
        <v>159.369</v>
      </c>
      <c r="O154" s="26" t="n">
        <v>479.1822</v>
      </c>
      <c r="P154" s="29" t="n">
        <v>0.1298</v>
      </c>
      <c r="Q154" s="29" t="n">
        <v>0.1526</v>
      </c>
      <c r="R154" s="30" t="n">
        <v>72</v>
      </c>
    </row>
    <row r="155">
      <c r="A155" t="inlineStr">
        <is>
          <t>ID</t>
        </is>
      </c>
      <c r="B155" t="n">
        <v>2021</v>
      </c>
      <c r="C155" s="21" t="n">
        <v>378138</v>
      </c>
      <c r="D155" s="22" t="n">
        <v>1.727351677</v>
      </c>
      <c r="E155" s="15" t="n">
        <v>8900.75</v>
      </c>
      <c r="F155" s="23" t="n">
        <v>0.2148</v>
      </c>
      <c r="G155" s="23" t="n">
        <v>0.297</v>
      </c>
      <c r="H155" s="23" t="n">
        <v>0.0728</v>
      </c>
      <c r="I155" s="23" t="n">
        <v>0.0614</v>
      </c>
      <c r="J155" s="23" t="n">
        <v>0.0313</v>
      </c>
      <c r="K155" s="23" t="n">
        <v>0.0415</v>
      </c>
      <c r="L155" s="23" t="n">
        <v>0.046</v>
      </c>
      <c r="M155" s="23" t="n">
        <v>0.0457</v>
      </c>
      <c r="N155" s="21" t="n">
        <v>149.7826</v>
      </c>
      <c r="O155" s="21" t="n">
        <v>495.718</v>
      </c>
      <c r="P155" s="23" t="n">
        <v>0.1315</v>
      </c>
      <c r="Q155" s="23" t="n">
        <v>0.1452</v>
      </c>
      <c r="R155" s="24" t="n">
        <v>72</v>
      </c>
    </row>
    <row r="156">
      <c r="A156" s="25" t="inlineStr">
        <is>
          <t>ID</t>
        </is>
      </c>
      <c r="B156" s="25" t="n">
        <v>2022</v>
      </c>
      <c r="C156" s="26" t="n">
        <v>388276</v>
      </c>
      <c r="D156" s="27" t="n">
        <v>1.725947903</v>
      </c>
      <c r="E156" s="28" t="n">
        <v>9213.02</v>
      </c>
      <c r="F156" s="29" t="n">
        <v>0.2129</v>
      </c>
      <c r="G156" s="29" t="n">
        <v>0.3058</v>
      </c>
      <c r="H156" s="29" t="n">
        <v>0.0711</v>
      </c>
      <c r="I156" s="29" t="n">
        <v>0.0619</v>
      </c>
      <c r="J156" s="29" t="n">
        <v>0.0316</v>
      </c>
      <c r="K156" s="29" t="n">
        <v>0.0404</v>
      </c>
      <c r="L156" s="29" t="n">
        <v>0.0463</v>
      </c>
      <c r="M156" s="29" t="n">
        <v>0.0438</v>
      </c>
      <c r="N156" s="26" t="n">
        <v>148.1333</v>
      </c>
      <c r="O156" s="26" t="n">
        <v>509.4962</v>
      </c>
      <c r="P156" s="29" t="n">
        <v>0.1288</v>
      </c>
      <c r="Q156" s="29" t="n">
        <v>0.1386</v>
      </c>
      <c r="R156" s="30" t="n">
        <v>72</v>
      </c>
    </row>
    <row r="157">
      <c r="A157" t="inlineStr">
        <is>
          <t>ID</t>
        </is>
      </c>
      <c r="B157" t="n">
        <v>2023</v>
      </c>
      <c r="C157" s="21" t="n">
        <v>399056</v>
      </c>
      <c r="D157" s="22" t="n">
        <v>1.797000211</v>
      </c>
      <c r="E157" s="15" t="n">
        <v>9989.49</v>
      </c>
      <c r="F157" s="23" t="n">
        <v>0.2017</v>
      </c>
      <c r="G157" s="23" t="n">
        <v>0.3111</v>
      </c>
      <c r="H157" s="23" t="n">
        <v>0.0692</v>
      </c>
      <c r="I157" s="23" t="n">
        <v>0.0601</v>
      </c>
      <c r="J157" s="23" t="n">
        <v>0.0432</v>
      </c>
      <c r="K157" s="23" t="n">
        <v>0.0372</v>
      </c>
      <c r="L157" s="23" t="n">
        <v>0.0435</v>
      </c>
      <c r="M157" s="23" t="n">
        <v>0.0425</v>
      </c>
      <c r="N157" s="21" t="n">
        <v>152.5496</v>
      </c>
      <c r="O157" s="21" t="n">
        <v>505.1226</v>
      </c>
      <c r="P157" s="23" t="n">
        <v>0.131</v>
      </c>
      <c r="Q157" s="23" t="n">
        <v>0.1263</v>
      </c>
      <c r="R157" s="24" t="n">
        <v>73</v>
      </c>
    </row>
    <row r="158">
      <c r="A158" s="25" t="inlineStr">
        <is>
          <t>ID</t>
        </is>
      </c>
      <c r="B158" s="25" t="n">
        <v>2024</v>
      </c>
      <c r="C158" s="26" t="n">
        <v>411464</v>
      </c>
      <c r="D158" s="27" t="n">
        <v>1.878319664</v>
      </c>
      <c r="E158" s="28" t="n">
        <v>10593.66</v>
      </c>
      <c r="F158" s="29" t="n">
        <v>0.1979</v>
      </c>
      <c r="G158" s="29" t="n">
        <v>0.3132</v>
      </c>
      <c r="H158" s="29" t="n">
        <v>0.0689</v>
      </c>
      <c r="I158" s="29" t="n">
        <v>0.0607</v>
      </c>
      <c r="J158" s="29" t="n">
        <v>0.0435</v>
      </c>
      <c r="K158" s="29" t="n">
        <v>0.0344</v>
      </c>
      <c r="L158" s="29" t="n">
        <v>0.0415</v>
      </c>
      <c r="M158" s="29" t="n">
        <v>0.0419</v>
      </c>
      <c r="N158" s="26" t="n">
        <v>157.2874</v>
      </c>
      <c r="O158" s="26" t="n">
        <v>515.8991</v>
      </c>
      <c r="P158" s="29" t="n">
        <v>0.1356</v>
      </c>
      <c r="Q158" s="29" t="n">
        <v>0.111</v>
      </c>
      <c r="R158" s="30" t="n">
        <v>73</v>
      </c>
    </row>
    <row r="159">
      <c r="A159" t="inlineStr">
        <is>
          <t>IL</t>
        </is>
      </c>
      <c r="B159" t="n">
        <v>2014</v>
      </c>
      <c r="C159" s="21" t="n">
        <v>2132736</v>
      </c>
      <c r="D159" s="22" t="n">
        <v>14.072169469</v>
      </c>
      <c r="E159" s="15" t="n">
        <v>9545.610000000001</v>
      </c>
      <c r="F159" s="23" t="n">
        <v>0.2894</v>
      </c>
      <c r="G159" s="23" t="n">
        <v>0.1461</v>
      </c>
      <c r="H159" s="23" t="n">
        <v>0.1043</v>
      </c>
      <c r="I159" s="23" t="n">
        <v>0.1089</v>
      </c>
      <c r="J159" s="23" t="n">
        <v>0.0216</v>
      </c>
      <c r="K159" s="23" t="n">
        <v>0.0655</v>
      </c>
      <c r="L159" s="23" t="n">
        <v>0.0465</v>
      </c>
      <c r="M159" s="23" t="n">
        <v>0.0271</v>
      </c>
      <c r="N159" s="21" t="n">
        <v>306.8795</v>
      </c>
      <c r="O159" s="21" t="n">
        <v>652.8174</v>
      </c>
      <c r="P159" s="23" t="n">
        <v>0.1878</v>
      </c>
      <c r="Q159" s="23" t="n">
        <v>0.1734</v>
      </c>
      <c r="R159" s="24" t="n">
        <v>72</v>
      </c>
    </row>
    <row r="160">
      <c r="A160" s="25" t="inlineStr">
        <is>
          <t>IL</t>
        </is>
      </c>
      <c r="B160" s="25" t="n">
        <v>2015</v>
      </c>
      <c r="C160" s="26" t="n">
        <v>2173039</v>
      </c>
      <c r="D160" s="27" t="n">
        <v>14.189545453</v>
      </c>
      <c r="E160" s="28" t="n">
        <v>9739.27</v>
      </c>
      <c r="F160" s="29" t="n">
        <v>0.2826</v>
      </c>
      <c r="G160" s="29" t="n">
        <v>0.1532</v>
      </c>
      <c r="H160" s="29" t="n">
        <v>0.1034</v>
      </c>
      <c r="I160" s="29" t="n">
        <v>0.1055</v>
      </c>
      <c r="J160" s="29" t="n">
        <v>0.0231</v>
      </c>
      <c r="K160" s="29" t="n">
        <v>0.06419999999999999</v>
      </c>
      <c r="L160" s="29" t="n">
        <v>0.0463</v>
      </c>
      <c r="M160" s="29" t="n">
        <v>0.0258</v>
      </c>
      <c r="N160" s="26" t="n">
        <v>301.1589</v>
      </c>
      <c r="O160" s="26" t="n">
        <v>667.9449</v>
      </c>
      <c r="P160" s="29" t="n">
        <v>0.1877</v>
      </c>
      <c r="Q160" s="29" t="n">
        <v>0.1732</v>
      </c>
      <c r="R160" s="30" t="n">
        <v>72</v>
      </c>
    </row>
    <row r="161">
      <c r="A161" t="inlineStr">
        <is>
          <t>IL</t>
        </is>
      </c>
      <c r="B161" t="n">
        <v>2016</v>
      </c>
      <c r="C161" s="21" t="n">
        <v>2212951</v>
      </c>
      <c r="D161" s="22" t="n">
        <v>14.57379032</v>
      </c>
      <c r="E161" s="15" t="n">
        <v>9894.280000000001</v>
      </c>
      <c r="F161" s="23" t="n">
        <v>0.2857</v>
      </c>
      <c r="G161" s="23" t="n">
        <v>0.1606</v>
      </c>
      <c r="H161" s="23" t="n">
        <v>0.1021</v>
      </c>
      <c r="I161" s="23" t="n">
        <v>0.1015</v>
      </c>
      <c r="J161" s="23" t="n">
        <v>0.0197</v>
      </c>
      <c r="K161" s="23" t="n">
        <v>0.0578</v>
      </c>
      <c r="L161" s="23" t="n">
        <v>0.0461</v>
      </c>
      <c r="M161" s="23" t="n">
        <v>0.0265</v>
      </c>
      <c r="N161" s="21" t="n">
        <v>297.5102</v>
      </c>
      <c r="O161" s="21" t="n">
        <v>678.1448</v>
      </c>
      <c r="P161" s="23" t="n">
        <v>0.1871</v>
      </c>
      <c r="Q161" s="23" t="n">
        <v>0.1791</v>
      </c>
      <c r="R161" s="24" t="n">
        <v>72</v>
      </c>
    </row>
    <row r="162">
      <c r="A162" s="25" t="inlineStr">
        <is>
          <t>IL</t>
        </is>
      </c>
      <c r="B162" s="25" t="n">
        <v>2017</v>
      </c>
      <c r="C162" s="26" t="n">
        <v>2252496</v>
      </c>
      <c r="D162" s="27" t="n">
        <v>14.638371681</v>
      </c>
      <c r="E162" s="28" t="n">
        <v>10118.76</v>
      </c>
      <c r="F162" s="29" t="n">
        <v>0.2852</v>
      </c>
      <c r="G162" s="29" t="n">
        <v>0.1687</v>
      </c>
      <c r="H162" s="29" t="n">
        <v>0.1023</v>
      </c>
      <c r="I162" s="29" t="n">
        <v>0.0979</v>
      </c>
      <c r="J162" s="29" t="n">
        <v>0.0187</v>
      </c>
      <c r="K162" s="29" t="n">
        <v>0.0521</v>
      </c>
      <c r="L162" s="29" t="n">
        <v>0.0457</v>
      </c>
      <c r="M162" s="29" t="n">
        <v>0.0279</v>
      </c>
      <c r="N162" s="26" t="n">
        <v>298.5305</v>
      </c>
      <c r="O162" s="26" t="n">
        <v>684.1163</v>
      </c>
      <c r="P162" s="29" t="n">
        <v>0.1887</v>
      </c>
      <c r="Q162" s="29" t="n">
        <v>0.1791</v>
      </c>
      <c r="R162" s="30" t="n">
        <v>72</v>
      </c>
    </row>
    <row r="163">
      <c r="A163" t="inlineStr">
        <is>
          <t>IL</t>
        </is>
      </c>
      <c r="B163" t="n">
        <v>2018</v>
      </c>
      <c r="C163" s="21" t="n">
        <v>2300947</v>
      </c>
      <c r="D163" s="22" t="n">
        <v>15.189562958</v>
      </c>
      <c r="E163" s="15" t="n">
        <v>10524.22</v>
      </c>
      <c r="F163" s="23" t="n">
        <v>0.2786</v>
      </c>
      <c r="G163" s="23" t="n">
        <v>0.1784</v>
      </c>
      <c r="H163" s="23" t="n">
        <v>0.0997</v>
      </c>
      <c r="I163" s="23" t="n">
        <v>0.0934</v>
      </c>
      <c r="J163" s="23" t="n">
        <v>0.0201</v>
      </c>
      <c r="K163" s="23" t="n">
        <v>0.0518</v>
      </c>
      <c r="L163" s="23" t="n">
        <v>0.0445</v>
      </c>
      <c r="M163" s="23" t="n">
        <v>0.0281</v>
      </c>
      <c r="N163" s="21" t="n">
        <v>295.1245</v>
      </c>
      <c r="O163" s="21" t="n">
        <v>679.546</v>
      </c>
      <c r="P163" s="23" t="n">
        <v>0.1897</v>
      </c>
      <c r="Q163" s="23" t="n">
        <v>0.1786</v>
      </c>
      <c r="R163" s="24" t="n">
        <v>72</v>
      </c>
    </row>
    <row r="164">
      <c r="A164" s="25" t="inlineStr">
        <is>
          <t>IL</t>
        </is>
      </c>
      <c r="B164" s="25" t="n">
        <v>2019</v>
      </c>
      <c r="C164" s="26" t="n">
        <v>2341496</v>
      </c>
      <c r="D164" s="27" t="n">
        <v>15.36433725</v>
      </c>
      <c r="E164" s="28" t="n">
        <v>10768.18</v>
      </c>
      <c r="F164" s="29" t="n">
        <v>0.2782</v>
      </c>
      <c r="G164" s="29" t="n">
        <v>0.1797</v>
      </c>
      <c r="H164" s="29" t="n">
        <v>0.099</v>
      </c>
      <c r="I164" s="29" t="n">
        <v>0.0878</v>
      </c>
      <c r="J164" s="29" t="n">
        <v>0.0205</v>
      </c>
      <c r="K164" s="29" t="n">
        <v>0.0483</v>
      </c>
      <c r="L164" s="29" t="n">
        <v>0.0451</v>
      </c>
      <c r="M164" s="29" t="n">
        <v>0.0293</v>
      </c>
      <c r="N164" s="26" t="n">
        <v>291.2222</v>
      </c>
      <c r="O164" s="26" t="n">
        <v>673.4302</v>
      </c>
      <c r="P164" s="29" t="n">
        <v>0.1909</v>
      </c>
      <c r="Q164" s="29" t="n">
        <v>0.1735</v>
      </c>
      <c r="R164" s="30" t="n">
        <v>73</v>
      </c>
    </row>
    <row r="165">
      <c r="A165" t="inlineStr">
        <is>
          <t>IL</t>
        </is>
      </c>
      <c r="B165" t="n">
        <v>2020</v>
      </c>
      <c r="C165" s="21" t="n">
        <v>2378023</v>
      </c>
      <c r="D165" s="22" t="n">
        <v>14.204948261</v>
      </c>
      <c r="E165" s="15" t="n">
        <v>10213.08</v>
      </c>
      <c r="F165" s="23" t="n">
        <v>0.2729</v>
      </c>
      <c r="G165" s="23" t="n">
        <v>0.1777</v>
      </c>
      <c r="H165" s="23" t="n">
        <v>0.09379999999999999</v>
      </c>
      <c r="I165" s="23" t="n">
        <v>0.0926</v>
      </c>
      <c r="J165" s="23" t="n">
        <v>0.0231</v>
      </c>
      <c r="K165" s="23" t="n">
        <v>0.0481</v>
      </c>
      <c r="L165" s="23" t="n">
        <v>0.041</v>
      </c>
      <c r="M165" s="23" t="n">
        <v>0.0312</v>
      </c>
      <c r="N165" s="21" t="n">
        <v>248.1152</v>
      </c>
      <c r="O165" s="21" t="n">
        <v>553.2743</v>
      </c>
      <c r="P165" s="23" t="n">
        <v>0.1917</v>
      </c>
      <c r="Q165" s="23" t="n">
        <v>0.169</v>
      </c>
      <c r="R165" s="24" t="n">
        <v>73</v>
      </c>
    </row>
    <row r="166">
      <c r="A166" s="25" t="inlineStr">
        <is>
          <t>IL</t>
        </is>
      </c>
      <c r="B166" s="25" t="n">
        <v>2021</v>
      </c>
      <c r="C166" s="26" t="n">
        <v>2397725</v>
      </c>
      <c r="D166" s="27" t="n">
        <v>14.390697955</v>
      </c>
      <c r="E166" s="28" t="n">
        <v>11126.28</v>
      </c>
      <c r="F166" s="29" t="n">
        <v>0.2618</v>
      </c>
      <c r="G166" s="29" t="n">
        <v>0.1913</v>
      </c>
      <c r="H166" s="29" t="n">
        <v>0.1024</v>
      </c>
      <c r="I166" s="29" t="n">
        <v>0.0822</v>
      </c>
      <c r="J166" s="29" t="n">
        <v>0.0222</v>
      </c>
      <c r="K166" s="29" t="n">
        <v>0.0464</v>
      </c>
      <c r="L166" s="29" t="n">
        <v>0.0423</v>
      </c>
      <c r="M166" s="29" t="n">
        <v>0.0288</v>
      </c>
      <c r="N166" s="26" t="n">
        <v>246.2508</v>
      </c>
      <c r="O166" s="26" t="n">
        <v>573.9212</v>
      </c>
      <c r="P166" s="29" t="n">
        <v>0.1931</v>
      </c>
      <c r="Q166" s="29" t="n">
        <v>0.1553</v>
      </c>
      <c r="R166" s="30" t="n">
        <v>73</v>
      </c>
    </row>
    <row r="167">
      <c r="A167" t="inlineStr">
        <is>
          <t>IL</t>
        </is>
      </c>
      <c r="B167" t="n">
        <v>2022</v>
      </c>
      <c r="C167" s="21" t="n">
        <v>2432605</v>
      </c>
      <c r="D167" s="22" t="n">
        <v>14.27603644</v>
      </c>
      <c r="E167" s="15" t="n">
        <v>11536.34</v>
      </c>
      <c r="F167" s="23" t="n">
        <v>0.258</v>
      </c>
      <c r="G167" s="23" t="n">
        <v>0.1939</v>
      </c>
      <c r="H167" s="23" t="n">
        <v>0.09959999999999999</v>
      </c>
      <c r="I167" s="23" t="n">
        <v>0.08749999999999999</v>
      </c>
      <c r="J167" s="23" t="n">
        <v>0.0238</v>
      </c>
      <c r="K167" s="23" t="n">
        <v>0.0446</v>
      </c>
      <c r="L167" s="23" t="n">
        <v>0.0408</v>
      </c>
      <c r="M167" s="23" t="n">
        <v>0.0285</v>
      </c>
      <c r="N167" s="21" t="n">
        <v>246.5317</v>
      </c>
      <c r="O167" s="21" t="n">
        <v>594.8407999999999</v>
      </c>
      <c r="P167" s="23" t="n">
        <v>0.1916</v>
      </c>
      <c r="Q167" s="23" t="n">
        <v>0.1567</v>
      </c>
      <c r="R167" s="24" t="n">
        <v>73</v>
      </c>
    </row>
    <row r="168">
      <c r="A168" s="25" t="inlineStr">
        <is>
          <t>IL</t>
        </is>
      </c>
      <c r="B168" s="25" t="n">
        <v>2023</v>
      </c>
      <c r="C168" s="26" t="n">
        <v>2469323</v>
      </c>
      <c r="D168" s="27" t="n">
        <v>14.717669281</v>
      </c>
      <c r="E168" s="28" t="n">
        <v>12443.81</v>
      </c>
      <c r="F168" s="29" t="n">
        <v>0.2454</v>
      </c>
      <c r="G168" s="29" t="n">
        <v>0.196</v>
      </c>
      <c r="H168" s="29" t="n">
        <v>0.0959</v>
      </c>
      <c r="I168" s="29" t="n">
        <v>0.076</v>
      </c>
      <c r="J168" s="29" t="n">
        <v>0.0519</v>
      </c>
      <c r="K168" s="29" t="n">
        <v>0.0422</v>
      </c>
      <c r="L168" s="29" t="n">
        <v>0.0391</v>
      </c>
      <c r="M168" s="29" t="n">
        <v>0.0287</v>
      </c>
      <c r="N168" s="26" t="n">
        <v>252.2342</v>
      </c>
      <c r="O168" s="26" t="n">
        <v>607.3077</v>
      </c>
      <c r="P168" s="29" t="n">
        <v>0.1915</v>
      </c>
      <c r="Q168" s="29" t="n">
        <v>0.152</v>
      </c>
      <c r="R168" s="30" t="n">
        <v>74</v>
      </c>
    </row>
    <row r="169">
      <c r="A169" t="inlineStr">
        <is>
          <t>IL</t>
        </is>
      </c>
      <c r="B169" t="n">
        <v>2024</v>
      </c>
      <c r="C169" s="21" t="n">
        <v>2515977</v>
      </c>
      <c r="D169" s="22" t="n">
        <v>15.056174137</v>
      </c>
      <c r="E169" s="15" t="n">
        <v>13083.53</v>
      </c>
      <c r="F169" s="23" t="n">
        <v>0.2401</v>
      </c>
      <c r="G169" s="23" t="n">
        <v>0.2017</v>
      </c>
      <c r="H169" s="23" t="n">
        <v>0.09429999999999999</v>
      </c>
      <c r="I169" s="23" t="n">
        <v>0.0738</v>
      </c>
      <c r="J169" s="23" t="n">
        <v>0.0582</v>
      </c>
      <c r="K169" s="23" t="n">
        <v>0.0407</v>
      </c>
      <c r="L169" s="23" t="n">
        <v>0.0376</v>
      </c>
      <c r="M169" s="23" t="n">
        <v>0.0291</v>
      </c>
      <c r="N169" s="21" t="n">
        <v>252.1244</v>
      </c>
      <c r="O169" s="21" t="n">
        <v>611.3717</v>
      </c>
      <c r="P169" s="23" t="n">
        <v>0.1949</v>
      </c>
      <c r="Q169" s="23" t="n">
        <v>0.1469</v>
      </c>
      <c r="R169" s="24" t="n">
        <v>74</v>
      </c>
    </row>
    <row r="170">
      <c r="A170" s="25" t="inlineStr">
        <is>
          <t>IN</t>
        </is>
      </c>
      <c r="B170" s="25" t="n">
        <v>2014</v>
      </c>
      <c r="C170" s="26" t="n">
        <v>1183440</v>
      </c>
      <c r="D170" s="27" t="n">
        <v>7.687575985</v>
      </c>
      <c r="E170" s="28" t="n">
        <v>9370.219999999999</v>
      </c>
      <c r="F170" s="29" t="n">
        <v>0.2918</v>
      </c>
      <c r="G170" s="29" t="n">
        <v>0.1565</v>
      </c>
      <c r="H170" s="29" t="n">
        <v>0.09379999999999999</v>
      </c>
      <c r="I170" s="29" t="n">
        <v>0.1148</v>
      </c>
      <c r="J170" s="29" t="n">
        <v>0.0256</v>
      </c>
      <c r="K170" s="29" t="n">
        <v>0.0393</v>
      </c>
      <c r="L170" s="29" t="n">
        <v>0.0465</v>
      </c>
      <c r="M170" s="29" t="n">
        <v>0.0318</v>
      </c>
      <c r="N170" s="26" t="n">
        <v>297.7855</v>
      </c>
      <c r="O170" s="26" t="n">
        <v>711.35</v>
      </c>
      <c r="P170" s="29" t="n">
        <v>0.1749</v>
      </c>
      <c r="Q170" s="29" t="n">
        <v>0.2058</v>
      </c>
      <c r="R170" s="30" t="n">
        <v>71</v>
      </c>
    </row>
    <row r="171">
      <c r="A171" t="inlineStr">
        <is>
          <t>IN</t>
        </is>
      </c>
      <c r="B171" t="n">
        <v>2015</v>
      </c>
      <c r="C171" s="21" t="n">
        <v>1210639</v>
      </c>
      <c r="D171" s="22" t="n">
        <v>7.980811647</v>
      </c>
      <c r="E171" s="15" t="n">
        <v>9672.35</v>
      </c>
      <c r="F171" s="23" t="n">
        <v>0.2862</v>
      </c>
      <c r="G171" s="23" t="n">
        <v>0.1605</v>
      </c>
      <c r="H171" s="23" t="n">
        <v>0.09429999999999999</v>
      </c>
      <c r="I171" s="23" t="n">
        <v>0.1119</v>
      </c>
      <c r="J171" s="23" t="n">
        <v>0.0267</v>
      </c>
      <c r="K171" s="23" t="n">
        <v>0.0405</v>
      </c>
      <c r="L171" s="23" t="n">
        <v>0.0457</v>
      </c>
      <c r="M171" s="23" t="n">
        <v>0.0324</v>
      </c>
      <c r="N171" s="21" t="n">
        <v>294.7864</v>
      </c>
      <c r="O171" s="21" t="n">
        <v>729.838</v>
      </c>
      <c r="P171" s="23" t="n">
        <v>0.1734</v>
      </c>
      <c r="Q171" s="23" t="n">
        <v>0.2094</v>
      </c>
      <c r="R171" s="24" t="n">
        <v>71</v>
      </c>
    </row>
    <row r="172">
      <c r="A172" s="25" t="inlineStr">
        <is>
          <t>IN</t>
        </is>
      </c>
      <c r="B172" s="25" t="n">
        <v>2016</v>
      </c>
      <c r="C172" s="26" t="n">
        <v>1237603</v>
      </c>
      <c r="D172" s="27" t="n">
        <v>7.985501641</v>
      </c>
      <c r="E172" s="28" t="n">
        <v>9692.450000000001</v>
      </c>
      <c r="F172" s="29" t="n">
        <v>0.2891</v>
      </c>
      <c r="G172" s="29" t="n">
        <v>0.1723</v>
      </c>
      <c r="H172" s="29" t="n">
        <v>0.0921</v>
      </c>
      <c r="I172" s="29" t="n">
        <v>0.1055</v>
      </c>
      <c r="J172" s="29" t="n">
        <v>0.0223</v>
      </c>
      <c r="K172" s="29" t="n">
        <v>0.04</v>
      </c>
      <c r="L172" s="29" t="n">
        <v>0.0459</v>
      </c>
      <c r="M172" s="29" t="n">
        <v>0.0349</v>
      </c>
      <c r="N172" s="26" t="n">
        <v>287.2778</v>
      </c>
      <c r="O172" s="26" t="n">
        <v>737.2838</v>
      </c>
      <c r="P172" s="29" t="n">
        <v>0.171</v>
      </c>
      <c r="Q172" s="29" t="n">
        <v>0.2127</v>
      </c>
      <c r="R172" s="30" t="n">
        <v>71</v>
      </c>
    </row>
    <row r="173">
      <c r="A173" t="inlineStr">
        <is>
          <t>IN</t>
        </is>
      </c>
      <c r="B173" t="n">
        <v>2017</v>
      </c>
      <c r="C173" s="21" t="n">
        <v>1262908</v>
      </c>
      <c r="D173" s="22" t="n">
        <v>8.034942642000001</v>
      </c>
      <c r="E173" s="15" t="n">
        <v>9841.4</v>
      </c>
      <c r="F173" s="23" t="n">
        <v>0.2866</v>
      </c>
      <c r="G173" s="23" t="n">
        <v>0.1824</v>
      </c>
      <c r="H173" s="23" t="n">
        <v>0.091</v>
      </c>
      <c r="I173" s="23" t="n">
        <v>0.1006</v>
      </c>
      <c r="J173" s="23" t="n">
        <v>0.0209</v>
      </c>
      <c r="K173" s="23" t="n">
        <v>0.0381</v>
      </c>
      <c r="L173" s="23" t="n">
        <v>0.0454</v>
      </c>
      <c r="M173" s="23" t="n">
        <v>0.0352</v>
      </c>
      <c r="N173" s="21" t="n">
        <v>285.8228</v>
      </c>
      <c r="O173" s="21" t="n">
        <v>729.6517</v>
      </c>
      <c r="P173" s="23" t="n">
        <v>0.1728</v>
      </c>
      <c r="Q173" s="23" t="n">
        <v>0.2084</v>
      </c>
      <c r="R173" s="24" t="n">
        <v>71</v>
      </c>
    </row>
    <row r="174">
      <c r="A174" s="25" t="inlineStr">
        <is>
          <t>IN</t>
        </is>
      </c>
      <c r="B174" s="25" t="n">
        <v>2018</v>
      </c>
      <c r="C174" s="26" t="n">
        <v>1295139</v>
      </c>
      <c r="D174" s="27" t="n">
        <v>8.129877311</v>
      </c>
      <c r="E174" s="28" t="n">
        <v>10183.83</v>
      </c>
      <c r="F174" s="29" t="n">
        <v>0.2795</v>
      </c>
      <c r="G174" s="29" t="n">
        <v>0.1918</v>
      </c>
      <c r="H174" s="29" t="n">
        <v>0.09039999999999999</v>
      </c>
      <c r="I174" s="29" t="n">
        <v>0.0935</v>
      </c>
      <c r="J174" s="29" t="n">
        <v>0.0227</v>
      </c>
      <c r="K174" s="29" t="n">
        <v>0.0372</v>
      </c>
      <c r="L174" s="29" t="n">
        <v>0.0451</v>
      </c>
      <c r="M174" s="29" t="n">
        <v>0.035</v>
      </c>
      <c r="N174" s="26" t="n">
        <v>280.6609</v>
      </c>
      <c r="O174" s="26" t="n">
        <v>710.3488</v>
      </c>
      <c r="P174" s="29" t="n">
        <v>0.1753</v>
      </c>
      <c r="Q174" s="29" t="n">
        <v>0.2074</v>
      </c>
      <c r="R174" s="30" t="n">
        <v>71</v>
      </c>
    </row>
    <row r="175">
      <c r="A175" t="inlineStr">
        <is>
          <t>IN</t>
        </is>
      </c>
      <c r="B175" t="n">
        <v>2019</v>
      </c>
      <c r="C175" s="21" t="n">
        <v>1322077</v>
      </c>
      <c r="D175" s="22" t="n">
        <v>8.215717005</v>
      </c>
      <c r="E175" s="15" t="n">
        <v>10568.14</v>
      </c>
      <c r="F175" s="23" t="n">
        <v>0.277</v>
      </c>
      <c r="G175" s="23" t="n">
        <v>0.1981</v>
      </c>
      <c r="H175" s="23" t="n">
        <v>0.0901</v>
      </c>
      <c r="I175" s="23" t="n">
        <v>0.08699999999999999</v>
      </c>
      <c r="J175" s="23" t="n">
        <v>0.0227</v>
      </c>
      <c r="K175" s="23" t="n">
        <v>0.0363</v>
      </c>
      <c r="L175" s="23" t="n">
        <v>0.0449</v>
      </c>
      <c r="M175" s="23" t="n">
        <v>0.0362</v>
      </c>
      <c r="N175" s="21" t="n">
        <v>276.0058</v>
      </c>
      <c r="O175" s="21" t="n">
        <v>697.0623000000001</v>
      </c>
      <c r="P175" s="23" t="n">
        <v>0.1769</v>
      </c>
      <c r="Q175" s="23" t="n">
        <v>0.1947</v>
      </c>
      <c r="R175" s="24" t="n">
        <v>71</v>
      </c>
    </row>
    <row r="176">
      <c r="A176" s="25" t="inlineStr">
        <is>
          <t>IN</t>
        </is>
      </c>
      <c r="B176" s="25" t="n">
        <v>2020</v>
      </c>
      <c r="C176" s="26" t="n">
        <v>1347392</v>
      </c>
      <c r="D176" s="27" t="n">
        <v>7.609439004</v>
      </c>
      <c r="E176" s="28" t="n">
        <v>10213.45</v>
      </c>
      <c r="F176" s="29" t="n">
        <v>0.2648</v>
      </c>
      <c r="G176" s="29" t="n">
        <v>0.1967</v>
      </c>
      <c r="H176" s="29" t="n">
        <v>0.08409999999999999</v>
      </c>
      <c r="I176" s="29" t="n">
        <v>0.1023</v>
      </c>
      <c r="J176" s="29" t="n">
        <v>0.0263</v>
      </c>
      <c r="K176" s="29" t="n">
        <v>0.0357</v>
      </c>
      <c r="L176" s="29" t="n">
        <v>0.0403</v>
      </c>
      <c r="M176" s="29" t="n">
        <v>0.0388</v>
      </c>
      <c r="N176" s="26" t="n">
        <v>237.1427</v>
      </c>
      <c r="O176" s="26" t="n">
        <v>570.3203</v>
      </c>
      <c r="P176" s="29" t="n">
        <v>0.1754</v>
      </c>
      <c r="Q176" s="29" t="n">
        <v>0.1817</v>
      </c>
      <c r="R176" s="30" t="n">
        <v>72</v>
      </c>
    </row>
    <row r="177">
      <c r="A177" t="inlineStr">
        <is>
          <t>IN</t>
        </is>
      </c>
      <c r="B177" t="n">
        <v>2021</v>
      </c>
      <c r="C177" s="21" t="n">
        <v>1365484</v>
      </c>
      <c r="D177" s="22" t="n">
        <v>7.600904092</v>
      </c>
      <c r="E177" s="15" t="n">
        <v>10930.91</v>
      </c>
      <c r="F177" s="23" t="n">
        <v>0.2537</v>
      </c>
      <c r="G177" s="23" t="n">
        <v>0.2121</v>
      </c>
      <c r="H177" s="23" t="n">
        <v>0.0945</v>
      </c>
      <c r="I177" s="23" t="n">
        <v>0.0929</v>
      </c>
      <c r="J177" s="23" t="n">
        <v>0.0259</v>
      </c>
      <c r="K177" s="23" t="n">
        <v>0.0336</v>
      </c>
      <c r="L177" s="23" t="n">
        <v>0.0415</v>
      </c>
      <c r="M177" s="23" t="n">
        <v>0.0361</v>
      </c>
      <c r="N177" s="21" t="n">
        <v>233.4089</v>
      </c>
      <c r="O177" s="21" t="n">
        <v>601.8099999999999</v>
      </c>
      <c r="P177" s="23" t="n">
        <v>0.1786</v>
      </c>
      <c r="Q177" s="23" t="n">
        <v>0.1667</v>
      </c>
      <c r="R177" s="24" t="n">
        <v>72</v>
      </c>
    </row>
    <row r="178">
      <c r="A178" s="25" t="inlineStr">
        <is>
          <t>IN</t>
        </is>
      </c>
      <c r="B178" s="25" t="n">
        <v>2022</v>
      </c>
      <c r="C178" s="26" t="n">
        <v>1387971</v>
      </c>
      <c r="D178" s="27" t="n">
        <v>7.448277493</v>
      </c>
      <c r="E178" s="28" t="n">
        <v>11241.34</v>
      </c>
      <c r="F178" s="29" t="n">
        <v>0.2502</v>
      </c>
      <c r="G178" s="29" t="n">
        <v>0.2169</v>
      </c>
      <c r="H178" s="29" t="n">
        <v>0.0922</v>
      </c>
      <c r="I178" s="29" t="n">
        <v>0.09859999999999999</v>
      </c>
      <c r="J178" s="29" t="n">
        <v>0.028</v>
      </c>
      <c r="K178" s="29" t="n">
        <v>0.0321</v>
      </c>
      <c r="L178" s="29" t="n">
        <v>0.0409</v>
      </c>
      <c r="M178" s="29" t="n">
        <v>0.0368</v>
      </c>
      <c r="N178" s="26" t="n">
        <v>231.1045</v>
      </c>
      <c r="O178" s="26" t="n">
        <v>608.0753999999999</v>
      </c>
      <c r="P178" s="29" t="n">
        <v>0.1752</v>
      </c>
      <c r="Q178" s="29" t="n">
        <v>0.165</v>
      </c>
      <c r="R178" s="30" t="n">
        <v>72</v>
      </c>
    </row>
    <row r="179">
      <c r="A179" t="inlineStr">
        <is>
          <t>IN</t>
        </is>
      </c>
      <c r="B179" t="n">
        <v>2023</v>
      </c>
      <c r="C179" s="21" t="n">
        <v>1412597</v>
      </c>
      <c r="D179" s="22" t="n">
        <v>7.554709157</v>
      </c>
      <c r="E179" s="15" t="n">
        <v>12043.14</v>
      </c>
      <c r="F179" s="23" t="n">
        <v>0.2357</v>
      </c>
      <c r="G179" s="23" t="n">
        <v>0.2247</v>
      </c>
      <c r="H179" s="23" t="n">
        <v>0.0896</v>
      </c>
      <c r="I179" s="23" t="n">
        <v>0.082</v>
      </c>
      <c r="J179" s="23" t="n">
        <v>0.0533</v>
      </c>
      <c r="K179" s="23" t="n">
        <v>0.0301</v>
      </c>
      <c r="L179" s="23" t="n">
        <v>0.0392</v>
      </c>
      <c r="M179" s="23" t="n">
        <v>0.0375</v>
      </c>
      <c r="N179" s="21" t="n">
        <v>234.2772</v>
      </c>
      <c r="O179" s="21" t="n">
        <v>618.6538</v>
      </c>
      <c r="P179" s="23" t="n">
        <v>0.1765</v>
      </c>
      <c r="Q179" s="23" t="n">
        <v>0.1574</v>
      </c>
      <c r="R179" s="24" t="n">
        <v>73</v>
      </c>
    </row>
    <row r="180">
      <c r="A180" s="25" t="inlineStr">
        <is>
          <t>IN</t>
        </is>
      </c>
      <c r="B180" s="25" t="n">
        <v>2024</v>
      </c>
      <c r="C180" s="26" t="n">
        <v>1440780</v>
      </c>
      <c r="D180" s="27" t="n">
        <v>7.55782687</v>
      </c>
      <c r="E180" s="28" t="n">
        <v>12451.5</v>
      </c>
      <c r="F180" s="29" t="n">
        <v>0.2378</v>
      </c>
      <c r="G180" s="29" t="n">
        <v>0.2349</v>
      </c>
      <c r="H180" s="29" t="n">
        <v>0.0883</v>
      </c>
      <c r="I180" s="29" t="n">
        <v>0.0766</v>
      </c>
      <c r="J180" s="29" t="n">
        <v>0.0417</v>
      </c>
      <c r="K180" s="29" t="n">
        <v>0.0285</v>
      </c>
      <c r="L180" s="29" t="n">
        <v>0.0381</v>
      </c>
      <c r="M180" s="29" t="n">
        <v>0.0384</v>
      </c>
      <c r="N180" s="26" t="n">
        <v>233.8393</v>
      </c>
      <c r="O180" s="26" t="n">
        <v>616.9880000000001</v>
      </c>
      <c r="P180" s="29" t="n">
        <v>0.1746</v>
      </c>
      <c r="Q180" s="29" t="n">
        <v>0.1387</v>
      </c>
      <c r="R180" s="30" t="n">
        <v>73</v>
      </c>
    </row>
    <row r="181">
      <c r="A181" t="inlineStr">
        <is>
          <t>KS</t>
        </is>
      </c>
      <c r="B181" t="n">
        <v>2014</v>
      </c>
      <c r="C181" s="21" t="n">
        <v>502551</v>
      </c>
      <c r="D181" s="22" t="n">
        <v>3.517193226</v>
      </c>
      <c r="E181" s="15" t="n">
        <v>9018.68</v>
      </c>
      <c r="F181" s="23" t="n">
        <v>0.2844</v>
      </c>
      <c r="G181" s="23" t="n">
        <v>0.1614</v>
      </c>
      <c r="H181" s="23" t="n">
        <v>0.08409999999999999</v>
      </c>
      <c r="I181" s="23" t="n">
        <v>0.1151</v>
      </c>
      <c r="J181" s="23" t="n">
        <v>0.027</v>
      </c>
      <c r="K181" s="23" t="n">
        <v>0.0363</v>
      </c>
      <c r="L181" s="23" t="n">
        <v>0.0496</v>
      </c>
      <c r="M181" s="23" t="n">
        <v>0.0356</v>
      </c>
      <c r="N181" s="21" t="n">
        <v>284.3432</v>
      </c>
      <c r="O181" s="21" t="n">
        <v>638.0702</v>
      </c>
      <c r="P181" s="23" t="n">
        <v>0.1625</v>
      </c>
      <c r="Q181" s="23" t="n">
        <v>0.1624</v>
      </c>
      <c r="R181" s="24" t="n">
        <v>72</v>
      </c>
    </row>
    <row r="182">
      <c r="A182" s="25" t="inlineStr">
        <is>
          <t>KS</t>
        </is>
      </c>
      <c r="B182" s="25" t="n">
        <v>2015</v>
      </c>
      <c r="C182" s="26" t="n">
        <v>512903</v>
      </c>
      <c r="D182" s="27" t="n">
        <v>3.706435503</v>
      </c>
      <c r="E182" s="28" t="n">
        <v>9357.49</v>
      </c>
      <c r="F182" s="29" t="n">
        <v>0.2788</v>
      </c>
      <c r="G182" s="29" t="n">
        <v>0.1646</v>
      </c>
      <c r="H182" s="29" t="n">
        <v>0.0837</v>
      </c>
      <c r="I182" s="29" t="n">
        <v>0.1135</v>
      </c>
      <c r="J182" s="29" t="n">
        <v>0.0284</v>
      </c>
      <c r="K182" s="29" t="n">
        <v>0.038</v>
      </c>
      <c r="L182" s="29" t="n">
        <v>0.0481</v>
      </c>
      <c r="M182" s="29" t="n">
        <v>0.0335</v>
      </c>
      <c r="N182" s="26" t="n">
        <v>286.1702</v>
      </c>
      <c r="O182" s="26" t="n">
        <v>657.8278</v>
      </c>
      <c r="P182" s="29" t="n">
        <v>0.1608</v>
      </c>
      <c r="Q182" s="29" t="n">
        <v>0.1558</v>
      </c>
      <c r="R182" s="30" t="n">
        <v>72</v>
      </c>
    </row>
    <row r="183">
      <c r="A183" t="inlineStr">
        <is>
          <t>KS</t>
        </is>
      </c>
      <c r="B183" t="n">
        <v>2016</v>
      </c>
      <c r="C183" s="21" t="n">
        <v>523621</v>
      </c>
      <c r="D183" s="22" t="n">
        <v>3.763502839</v>
      </c>
      <c r="E183" s="15" t="n">
        <v>9438.49</v>
      </c>
      <c r="F183" s="23" t="n">
        <v>0.2768</v>
      </c>
      <c r="G183" s="23" t="n">
        <v>0.1705</v>
      </c>
      <c r="H183" s="23" t="n">
        <v>0.0806</v>
      </c>
      <c r="I183" s="23" t="n">
        <v>0.1109</v>
      </c>
      <c r="J183" s="23" t="n">
        <v>0.0242</v>
      </c>
      <c r="K183" s="23" t="n">
        <v>0.0396</v>
      </c>
      <c r="L183" s="23" t="n">
        <v>0.0485</v>
      </c>
      <c r="M183" s="23" t="n">
        <v>0.0351</v>
      </c>
      <c r="N183" s="21" t="n">
        <v>276.4985</v>
      </c>
      <c r="O183" s="21" t="n">
        <v>651.9637</v>
      </c>
      <c r="P183" s="23" t="n">
        <v>0.1591</v>
      </c>
      <c r="Q183" s="23" t="n">
        <v>0.1502</v>
      </c>
      <c r="R183" s="24" t="n">
        <v>72</v>
      </c>
    </row>
    <row r="184">
      <c r="A184" s="25" t="inlineStr">
        <is>
          <t>KS</t>
        </is>
      </c>
      <c r="B184" s="25" t="n">
        <v>2017</v>
      </c>
      <c r="C184" s="26" t="n">
        <v>535130</v>
      </c>
      <c r="D184" s="27" t="n">
        <v>3.903863207</v>
      </c>
      <c r="E184" s="28" t="n">
        <v>9777.67</v>
      </c>
      <c r="F184" s="29" t="n">
        <v>0.2779</v>
      </c>
      <c r="G184" s="29" t="n">
        <v>0.1781</v>
      </c>
      <c r="H184" s="29" t="n">
        <v>0.07829999999999999</v>
      </c>
      <c r="I184" s="29" t="n">
        <v>0.1072</v>
      </c>
      <c r="J184" s="29" t="n">
        <v>0.0222</v>
      </c>
      <c r="K184" s="29" t="n">
        <v>0.0391</v>
      </c>
      <c r="L184" s="29" t="n">
        <v>0.047</v>
      </c>
      <c r="M184" s="29" t="n">
        <v>0.0355</v>
      </c>
      <c r="N184" s="26" t="n">
        <v>279.0141</v>
      </c>
      <c r="O184" s="26" t="n">
        <v>663.3297</v>
      </c>
      <c r="P184" s="29" t="n">
        <v>0.1614</v>
      </c>
      <c r="Q184" s="29" t="n">
        <v>0.1444</v>
      </c>
      <c r="R184" s="30" t="n">
        <v>72</v>
      </c>
    </row>
    <row r="185">
      <c r="A185" t="inlineStr">
        <is>
          <t>KS</t>
        </is>
      </c>
      <c r="B185" t="n">
        <v>2018</v>
      </c>
      <c r="C185" s="21" t="n">
        <v>549627</v>
      </c>
      <c r="D185" s="22" t="n">
        <v>4.083748131</v>
      </c>
      <c r="E185" s="15" t="n">
        <v>10158</v>
      </c>
      <c r="F185" s="23" t="n">
        <v>0.2692</v>
      </c>
      <c r="G185" s="23" t="n">
        <v>0.1865</v>
      </c>
      <c r="H185" s="23" t="n">
        <v>0.0767</v>
      </c>
      <c r="I185" s="23" t="n">
        <v>0.1057</v>
      </c>
      <c r="J185" s="23" t="n">
        <v>0.0232</v>
      </c>
      <c r="K185" s="23" t="n">
        <v>0.0365</v>
      </c>
      <c r="L185" s="23" t="n">
        <v>0.0454</v>
      </c>
      <c r="M185" s="23" t="n">
        <v>0.0366</v>
      </c>
      <c r="N185" s="21" t="n">
        <v>275.33</v>
      </c>
      <c r="O185" s="21" t="n">
        <v>645.0825</v>
      </c>
      <c r="P185" s="23" t="n">
        <v>0.1614</v>
      </c>
      <c r="Q185" s="23" t="n">
        <v>0.1382</v>
      </c>
      <c r="R185" s="24" t="n">
        <v>72</v>
      </c>
    </row>
    <row r="186">
      <c r="A186" s="25" t="inlineStr">
        <is>
          <t>KS</t>
        </is>
      </c>
      <c r="B186" s="25" t="n">
        <v>2019</v>
      </c>
      <c r="C186" s="26" t="n">
        <v>561444</v>
      </c>
      <c r="D186" s="27" t="n">
        <v>4.197831663</v>
      </c>
      <c r="E186" s="28" t="n">
        <v>10491.64</v>
      </c>
      <c r="F186" s="29" t="n">
        <v>0.2621</v>
      </c>
      <c r="G186" s="29" t="n">
        <v>0.1919</v>
      </c>
      <c r="H186" s="29" t="n">
        <v>0.07530000000000001</v>
      </c>
      <c r="I186" s="29" t="n">
        <v>0.1045</v>
      </c>
      <c r="J186" s="29" t="n">
        <v>0.0241</v>
      </c>
      <c r="K186" s="29" t="n">
        <v>0.0356</v>
      </c>
      <c r="L186" s="29" t="n">
        <v>0.0452</v>
      </c>
      <c r="M186" s="29" t="n">
        <v>0.0377</v>
      </c>
      <c r="N186" s="26" t="n">
        <v>269.762</v>
      </c>
      <c r="O186" s="26" t="n">
        <v>634.0725</v>
      </c>
      <c r="P186" s="29" t="n">
        <v>0.1612</v>
      </c>
      <c r="Q186" s="29" t="n">
        <v>0.1304</v>
      </c>
      <c r="R186" s="30" t="n">
        <v>72</v>
      </c>
    </row>
    <row r="187">
      <c r="A187" t="inlineStr">
        <is>
          <t>KS</t>
        </is>
      </c>
      <c r="B187" t="n">
        <v>2020</v>
      </c>
      <c r="C187" s="21" t="n">
        <v>573515</v>
      </c>
      <c r="D187" s="22" t="n">
        <v>4.015941046</v>
      </c>
      <c r="E187" s="15" t="n">
        <v>10189.49</v>
      </c>
      <c r="F187" s="23" t="n">
        <v>0.2528</v>
      </c>
      <c r="G187" s="23" t="n">
        <v>0.1928</v>
      </c>
      <c r="H187" s="23" t="n">
        <v>0.0707</v>
      </c>
      <c r="I187" s="23" t="n">
        <v>0.1125</v>
      </c>
      <c r="J187" s="23" t="n">
        <v>0.0277</v>
      </c>
      <c r="K187" s="23" t="n">
        <v>0.0376</v>
      </c>
      <c r="L187" s="23" t="n">
        <v>0.0408</v>
      </c>
      <c r="M187" s="23" t="n">
        <v>0.0403</v>
      </c>
      <c r="N187" s="21" t="n">
        <v>232.6058</v>
      </c>
      <c r="O187" s="21" t="n">
        <v>526.527</v>
      </c>
      <c r="P187" s="23" t="n">
        <v>0.1603</v>
      </c>
      <c r="Q187" s="23" t="n">
        <v>0.1219</v>
      </c>
      <c r="R187" s="24" t="n">
        <v>73</v>
      </c>
    </row>
    <row r="188">
      <c r="A188" s="25" t="inlineStr">
        <is>
          <t>KS</t>
        </is>
      </c>
      <c r="B188" s="25" t="n">
        <v>2021</v>
      </c>
      <c r="C188" s="26" t="n">
        <v>583419</v>
      </c>
      <c r="D188" s="27" t="n">
        <v>4.17342136</v>
      </c>
      <c r="E188" s="28" t="n">
        <v>11037.12</v>
      </c>
      <c r="F188" s="29" t="n">
        <v>0.2423</v>
      </c>
      <c r="G188" s="29" t="n">
        <v>0.2098</v>
      </c>
      <c r="H188" s="29" t="n">
        <v>0.0774</v>
      </c>
      <c r="I188" s="29" t="n">
        <v>0.1029</v>
      </c>
      <c r="J188" s="29" t="n">
        <v>0.0277</v>
      </c>
      <c r="K188" s="29" t="n">
        <v>0.0371</v>
      </c>
      <c r="L188" s="29" t="n">
        <v>0.0411</v>
      </c>
      <c r="M188" s="29" t="n">
        <v>0.0372</v>
      </c>
      <c r="N188" s="26" t="n">
        <v>226.0358</v>
      </c>
      <c r="O188" s="26" t="n">
        <v>554.4104</v>
      </c>
      <c r="P188" s="29" t="n">
        <v>0.1583</v>
      </c>
      <c r="Q188" s="29" t="n">
        <v>0.1136</v>
      </c>
      <c r="R188" s="30" t="n">
        <v>73</v>
      </c>
    </row>
    <row r="189">
      <c r="A189" t="inlineStr">
        <is>
          <t>KS</t>
        </is>
      </c>
      <c r="B189" t="n">
        <v>2022</v>
      </c>
      <c r="C189" s="21" t="n">
        <v>594516</v>
      </c>
      <c r="D189" s="22" t="n">
        <v>4.132842014</v>
      </c>
      <c r="E189" s="15" t="n">
        <v>11281.19</v>
      </c>
      <c r="F189" s="23" t="n">
        <v>0.2327</v>
      </c>
      <c r="G189" s="23" t="n">
        <v>0.2201</v>
      </c>
      <c r="H189" s="23" t="n">
        <v>0.0752</v>
      </c>
      <c r="I189" s="23" t="n">
        <v>0.1069</v>
      </c>
      <c r="J189" s="23" t="n">
        <v>0.0283</v>
      </c>
      <c r="K189" s="23" t="n">
        <v>0.0356</v>
      </c>
      <c r="L189" s="23" t="n">
        <v>0.0414</v>
      </c>
      <c r="M189" s="23" t="n">
        <v>0.039</v>
      </c>
      <c r="N189" s="21" t="n">
        <v>217.2934</v>
      </c>
      <c r="O189" s="21" t="n">
        <v>563.3059</v>
      </c>
      <c r="P189" s="23" t="n">
        <v>0.1554</v>
      </c>
      <c r="Q189" s="23" t="n">
        <v>0.109</v>
      </c>
      <c r="R189" s="24" t="n">
        <v>73</v>
      </c>
    </row>
    <row r="190">
      <c r="A190" s="25" t="inlineStr">
        <is>
          <t>KS</t>
        </is>
      </c>
      <c r="B190" s="25" t="n">
        <v>2023</v>
      </c>
      <c r="C190" s="26" t="n">
        <v>604506</v>
      </c>
      <c r="D190" s="27" t="n">
        <v>4.410007127</v>
      </c>
      <c r="E190" s="28" t="n">
        <v>12390.06</v>
      </c>
      <c r="F190" s="29" t="n">
        <v>0.2149</v>
      </c>
      <c r="G190" s="29" t="n">
        <v>0.2208</v>
      </c>
      <c r="H190" s="29" t="n">
        <v>0.07140000000000001</v>
      </c>
      <c r="I190" s="29" t="n">
        <v>0.0934</v>
      </c>
      <c r="J190" s="29" t="n">
        <v>0.06950000000000001</v>
      </c>
      <c r="K190" s="29" t="n">
        <v>0.0317</v>
      </c>
      <c r="L190" s="29" t="n">
        <v>0.0382</v>
      </c>
      <c r="M190" s="29" t="n">
        <v>0.0376</v>
      </c>
      <c r="N190" s="26" t="n">
        <v>214.5135</v>
      </c>
      <c r="O190" s="26" t="n">
        <v>559.2601</v>
      </c>
      <c r="P190" s="29" t="n">
        <v>0.1539</v>
      </c>
      <c r="Q190" s="29" t="n">
        <v>0.09950000000000001</v>
      </c>
      <c r="R190" s="30" t="n">
        <v>73</v>
      </c>
    </row>
    <row r="191">
      <c r="A191" t="inlineStr">
        <is>
          <t>KS</t>
        </is>
      </c>
      <c r="B191" t="n">
        <v>2024</v>
      </c>
      <c r="C191" s="21" t="n">
        <v>617128</v>
      </c>
      <c r="D191" s="22" t="n">
        <v>4.441490651</v>
      </c>
      <c r="E191" s="15" t="n">
        <v>12619.84</v>
      </c>
      <c r="F191" s="23" t="n">
        <v>0.2164</v>
      </c>
      <c r="G191" s="23" t="n">
        <v>0.2391</v>
      </c>
      <c r="H191" s="23" t="n">
        <v>0.0731</v>
      </c>
      <c r="I191" s="23" t="n">
        <v>0.0949</v>
      </c>
      <c r="J191" s="23" t="n">
        <v>0.0405</v>
      </c>
      <c r="K191" s="23" t="n">
        <v>0.0315</v>
      </c>
      <c r="L191" s="23" t="n">
        <v>0.0376</v>
      </c>
      <c r="M191" s="23" t="n">
        <v>0.0384</v>
      </c>
      <c r="N191" s="21" t="n">
        <v>218.483</v>
      </c>
      <c r="O191" s="21" t="n">
        <v>571.0154</v>
      </c>
      <c r="P191" s="23" t="n">
        <v>0.1601</v>
      </c>
      <c r="Q191" s="23" t="n">
        <v>0.09</v>
      </c>
      <c r="R191" s="24" t="n">
        <v>74</v>
      </c>
    </row>
    <row r="192">
      <c r="A192" s="25" t="inlineStr">
        <is>
          <t>KY</t>
        </is>
      </c>
      <c r="B192" s="25" t="n">
        <v>2014</v>
      </c>
      <c r="C192" s="26" t="n">
        <v>888198</v>
      </c>
      <c r="D192" s="27" t="n">
        <v>5.426169356</v>
      </c>
      <c r="E192" s="28" t="n">
        <v>9102.52</v>
      </c>
      <c r="F192" s="29" t="n">
        <v>0.3117</v>
      </c>
      <c r="G192" s="29" t="n">
        <v>0.153</v>
      </c>
      <c r="H192" s="29" t="n">
        <v>0.09710000000000001</v>
      </c>
      <c r="I192" s="29" t="n">
        <v>0.0922</v>
      </c>
      <c r="J192" s="29" t="n">
        <v>0.0302</v>
      </c>
      <c r="K192" s="29" t="n">
        <v>0.0548</v>
      </c>
      <c r="L192" s="29" t="n">
        <v>0.0458</v>
      </c>
      <c r="M192" s="29" t="n">
        <v>0.0203</v>
      </c>
      <c r="N192" s="26" t="n">
        <v>313.4485</v>
      </c>
      <c r="O192" s="26" t="n">
        <v>799.1215999999999</v>
      </c>
      <c r="P192" s="29" t="n">
        <v>0.1882</v>
      </c>
      <c r="Q192" s="29" t="n">
        <v>0.2744</v>
      </c>
      <c r="R192" s="30" t="n">
        <v>69</v>
      </c>
    </row>
    <row r="193">
      <c r="A193" t="inlineStr">
        <is>
          <t>KY</t>
        </is>
      </c>
      <c r="B193" t="n">
        <v>2015</v>
      </c>
      <c r="C193" s="21" t="n">
        <v>905246</v>
      </c>
      <c r="D193" s="22" t="n">
        <v>5.59716701</v>
      </c>
      <c r="E193" s="15" t="n">
        <v>9425.76</v>
      </c>
      <c r="F193" s="23" t="n">
        <v>0.3083</v>
      </c>
      <c r="G193" s="23" t="n">
        <v>0.1555</v>
      </c>
      <c r="H193" s="23" t="n">
        <v>0.0963</v>
      </c>
      <c r="I193" s="23" t="n">
        <v>0.09089999999999999</v>
      </c>
      <c r="J193" s="23" t="n">
        <v>0.0318</v>
      </c>
      <c r="K193" s="23" t="n">
        <v>0.0543</v>
      </c>
      <c r="L193" s="23" t="n">
        <v>0.045</v>
      </c>
      <c r="M193" s="23" t="n">
        <v>0.0202</v>
      </c>
      <c r="N193" s="21" t="n">
        <v>312.2432</v>
      </c>
      <c r="O193" s="21" t="n">
        <v>806.3053</v>
      </c>
      <c r="P193" s="23" t="n">
        <v>0.189</v>
      </c>
      <c r="Q193" s="23" t="n">
        <v>0.2707</v>
      </c>
      <c r="R193" s="24" t="n">
        <v>69</v>
      </c>
    </row>
    <row r="194">
      <c r="A194" s="25" t="inlineStr">
        <is>
          <t>KY</t>
        </is>
      </c>
      <c r="B194" s="25" t="n">
        <v>2016</v>
      </c>
      <c r="C194" s="26" t="n">
        <v>922288</v>
      </c>
      <c r="D194" s="27" t="n">
        <v>5.598890715</v>
      </c>
      <c r="E194" s="28" t="n">
        <v>9470.02</v>
      </c>
      <c r="F194" s="29" t="n">
        <v>0.3116</v>
      </c>
      <c r="G194" s="29" t="n">
        <v>0.1628</v>
      </c>
      <c r="H194" s="29" t="n">
        <v>0.0939</v>
      </c>
      <c r="I194" s="29" t="n">
        <v>0.0895</v>
      </c>
      <c r="J194" s="29" t="n">
        <v>0.0267</v>
      </c>
      <c r="K194" s="29" t="n">
        <v>0.0544</v>
      </c>
      <c r="L194" s="29" t="n">
        <v>0.0451</v>
      </c>
      <c r="M194" s="29" t="n">
        <v>0.0216</v>
      </c>
      <c r="N194" s="26" t="n">
        <v>305.888</v>
      </c>
      <c r="O194" s="26" t="n">
        <v>803.2621</v>
      </c>
      <c r="P194" s="29" t="n">
        <v>0.1895</v>
      </c>
      <c r="Q194" s="29" t="n">
        <v>0.2615</v>
      </c>
      <c r="R194" s="30" t="n">
        <v>69</v>
      </c>
    </row>
    <row r="195">
      <c r="A195" t="inlineStr">
        <is>
          <t>KY</t>
        </is>
      </c>
      <c r="B195" t="n">
        <v>2017</v>
      </c>
      <c r="C195" s="21" t="n">
        <v>936714</v>
      </c>
      <c r="D195" s="22" t="n">
        <v>5.727653319</v>
      </c>
      <c r="E195" s="15" t="n">
        <v>9811</v>
      </c>
      <c r="F195" s="23" t="n">
        <v>0.3022</v>
      </c>
      <c r="G195" s="23" t="n">
        <v>0.1742</v>
      </c>
      <c r="H195" s="23" t="n">
        <v>0.0921</v>
      </c>
      <c r="I195" s="23" t="n">
        <v>0.0866</v>
      </c>
      <c r="J195" s="23" t="n">
        <v>0.0251</v>
      </c>
      <c r="K195" s="23" t="n">
        <v>0.053</v>
      </c>
      <c r="L195" s="23" t="n">
        <v>0.0443</v>
      </c>
      <c r="M195" s="23" t="n">
        <v>0.0222</v>
      </c>
      <c r="N195" s="21" t="n">
        <v>303.2653</v>
      </c>
      <c r="O195" s="21" t="n">
        <v>794.2203</v>
      </c>
      <c r="P195" s="23" t="n">
        <v>0.1885</v>
      </c>
      <c r="Q195" s="23" t="n">
        <v>0.2556</v>
      </c>
      <c r="R195" s="24" t="n">
        <v>70</v>
      </c>
    </row>
    <row r="196">
      <c r="A196" s="25" t="inlineStr">
        <is>
          <t>KY</t>
        </is>
      </c>
      <c r="B196" s="25" t="n">
        <v>2018</v>
      </c>
      <c r="C196" s="26" t="n">
        <v>956160</v>
      </c>
      <c r="D196" s="27" t="n">
        <v>5.846136898</v>
      </c>
      <c r="E196" s="28" t="n">
        <v>10150.95</v>
      </c>
      <c r="F196" s="29" t="n">
        <v>0.2905</v>
      </c>
      <c r="G196" s="29" t="n">
        <v>0.1865</v>
      </c>
      <c r="H196" s="29" t="n">
        <v>0.0902</v>
      </c>
      <c r="I196" s="29" t="n">
        <v>0.08160000000000001</v>
      </c>
      <c r="J196" s="29" t="n">
        <v>0.0269</v>
      </c>
      <c r="K196" s="29" t="n">
        <v>0.0514</v>
      </c>
      <c r="L196" s="29" t="n">
        <v>0.0439</v>
      </c>
      <c r="M196" s="29" t="n">
        <v>0.0237</v>
      </c>
      <c r="N196" s="26" t="n">
        <v>292.551</v>
      </c>
      <c r="O196" s="26" t="n">
        <v>770.0792</v>
      </c>
      <c r="P196" s="29" t="n">
        <v>0.1895</v>
      </c>
      <c r="Q196" s="29" t="n">
        <v>0.2471</v>
      </c>
      <c r="R196" s="30" t="n">
        <v>70</v>
      </c>
    </row>
    <row r="197">
      <c r="A197" t="inlineStr">
        <is>
          <t>KY</t>
        </is>
      </c>
      <c r="B197" t="n">
        <v>2019</v>
      </c>
      <c r="C197" s="21" t="n">
        <v>972766</v>
      </c>
      <c r="D197" s="22" t="n">
        <v>5.754487296</v>
      </c>
      <c r="E197" s="15" t="n">
        <v>10449.08</v>
      </c>
      <c r="F197" s="23" t="n">
        <v>0.2855</v>
      </c>
      <c r="G197" s="23" t="n">
        <v>0.192</v>
      </c>
      <c r="H197" s="23" t="n">
        <v>0.0885</v>
      </c>
      <c r="I197" s="23" t="n">
        <v>0.0806</v>
      </c>
      <c r="J197" s="23" t="n">
        <v>0.0263</v>
      </c>
      <c r="K197" s="23" t="n">
        <v>0.0496</v>
      </c>
      <c r="L197" s="23" t="n">
        <v>0.0446</v>
      </c>
      <c r="M197" s="23" t="n">
        <v>0.0243</v>
      </c>
      <c r="N197" s="21" t="n">
        <v>286.2759</v>
      </c>
      <c r="O197" s="21" t="n">
        <v>750.7123</v>
      </c>
      <c r="P197" s="23" t="n">
        <v>0.1902</v>
      </c>
      <c r="Q197" s="23" t="n">
        <v>0.2307</v>
      </c>
      <c r="R197" s="24" t="n">
        <v>70</v>
      </c>
    </row>
    <row r="198">
      <c r="A198" s="25" t="inlineStr">
        <is>
          <t>KY</t>
        </is>
      </c>
      <c r="B198" s="25" t="n">
        <v>2020</v>
      </c>
      <c r="C198" s="26" t="n">
        <v>987126</v>
      </c>
      <c r="D198" s="27" t="n">
        <v>5.129930986</v>
      </c>
      <c r="E198" s="28" t="n">
        <v>9964.98</v>
      </c>
      <c r="F198" s="29" t="n">
        <v>0.2718</v>
      </c>
      <c r="G198" s="29" t="n">
        <v>0.1922</v>
      </c>
      <c r="H198" s="29" t="n">
        <v>0.0843</v>
      </c>
      <c r="I198" s="29" t="n">
        <v>0.09859999999999999</v>
      </c>
      <c r="J198" s="29" t="n">
        <v>0.029</v>
      </c>
      <c r="K198" s="29" t="n">
        <v>0.0502</v>
      </c>
      <c r="L198" s="29" t="n">
        <v>0.0403</v>
      </c>
      <c r="M198" s="29" t="n">
        <v>0.0272</v>
      </c>
      <c r="N198" s="26" t="n">
        <v>241.0392</v>
      </c>
      <c r="O198" s="26" t="n">
        <v>595.6146</v>
      </c>
      <c r="P198" s="29" t="n">
        <v>0.1897</v>
      </c>
      <c r="Q198" s="29" t="n">
        <v>0.2269</v>
      </c>
      <c r="R198" s="30" t="n">
        <v>70</v>
      </c>
    </row>
    <row r="199">
      <c r="A199" t="inlineStr">
        <is>
          <t>KY</t>
        </is>
      </c>
      <c r="B199" t="n">
        <v>2021</v>
      </c>
      <c r="C199" s="21" t="n">
        <v>998267</v>
      </c>
      <c r="D199" s="22" t="n">
        <v>5.030542956</v>
      </c>
      <c r="E199" s="15" t="n">
        <v>10676.23</v>
      </c>
      <c r="F199" s="23" t="n">
        <v>0.2645</v>
      </c>
      <c r="G199" s="23" t="n">
        <v>0.2079</v>
      </c>
      <c r="H199" s="23" t="n">
        <v>0.0935</v>
      </c>
      <c r="I199" s="23" t="n">
        <v>0.0877</v>
      </c>
      <c r="J199" s="23" t="n">
        <v>0.0271</v>
      </c>
      <c r="K199" s="23" t="n">
        <v>0.0454</v>
      </c>
      <c r="L199" s="23" t="n">
        <v>0.042</v>
      </c>
      <c r="M199" s="23" t="n">
        <v>0.0252</v>
      </c>
      <c r="N199" s="21" t="n">
        <v>232.67</v>
      </c>
      <c r="O199" s="21" t="n">
        <v>608.5599999999999</v>
      </c>
      <c r="P199" s="23" t="n">
        <v>0.1849</v>
      </c>
      <c r="Q199" s="23" t="n">
        <v>0.206</v>
      </c>
      <c r="R199" s="24" t="n">
        <v>71</v>
      </c>
    </row>
    <row r="200">
      <c r="A200" s="25" t="inlineStr">
        <is>
          <t>KY</t>
        </is>
      </c>
      <c r="B200" s="25" t="n">
        <v>2022</v>
      </c>
      <c r="C200" s="26" t="n">
        <v>1008082</v>
      </c>
      <c r="D200" s="27" t="n">
        <v>4.772412092</v>
      </c>
      <c r="E200" s="28" t="n">
        <v>11065.74</v>
      </c>
      <c r="F200" s="29" t="n">
        <v>0.2578</v>
      </c>
      <c r="G200" s="29" t="n">
        <v>0.2133</v>
      </c>
      <c r="H200" s="29" t="n">
        <v>0.0919</v>
      </c>
      <c r="I200" s="29" t="n">
        <v>0.0931</v>
      </c>
      <c r="J200" s="29" t="n">
        <v>0.0291</v>
      </c>
      <c r="K200" s="29" t="n">
        <v>0.0424</v>
      </c>
      <c r="L200" s="29" t="n">
        <v>0.0416</v>
      </c>
      <c r="M200" s="29" t="n">
        <v>0.0257</v>
      </c>
      <c r="N200" s="26" t="n">
        <v>231.9571</v>
      </c>
      <c r="O200" s="26" t="n">
        <v>619.8508</v>
      </c>
      <c r="P200" s="29" t="n">
        <v>0.1816</v>
      </c>
      <c r="Q200" s="29" t="n">
        <v>0.1801</v>
      </c>
      <c r="R200" s="30" t="n">
        <v>71</v>
      </c>
    </row>
    <row r="201">
      <c r="A201" t="inlineStr">
        <is>
          <t>KY</t>
        </is>
      </c>
      <c r="B201" t="n">
        <v>2023</v>
      </c>
      <c r="C201" s="21" t="n">
        <v>1019526</v>
      </c>
      <c r="D201" s="22" t="n">
        <v>4.744310384</v>
      </c>
      <c r="E201" s="15" t="n">
        <v>11852.83</v>
      </c>
      <c r="F201" s="23" t="n">
        <v>0.2478</v>
      </c>
      <c r="G201" s="23" t="n">
        <v>0.2204</v>
      </c>
      <c r="H201" s="23" t="n">
        <v>0.0886</v>
      </c>
      <c r="I201" s="23" t="n">
        <v>0.0825</v>
      </c>
      <c r="J201" s="23" t="n">
        <v>0.0421</v>
      </c>
      <c r="K201" s="23" t="n">
        <v>0.0387</v>
      </c>
      <c r="L201" s="23" t="n">
        <v>0.0402</v>
      </c>
      <c r="M201" s="23" t="n">
        <v>0.0255</v>
      </c>
      <c r="N201" s="21" t="n">
        <v>236.0568</v>
      </c>
      <c r="O201" s="21" t="n">
        <v>626.0605</v>
      </c>
      <c r="P201" s="23" t="n">
        <v>0.1853</v>
      </c>
      <c r="Q201" s="23" t="n">
        <v>0.1627</v>
      </c>
      <c r="R201" s="24" t="n">
        <v>72</v>
      </c>
    </row>
    <row r="202">
      <c r="A202" s="25" t="inlineStr">
        <is>
          <t>KY</t>
        </is>
      </c>
      <c r="B202" s="25" t="n">
        <v>2024</v>
      </c>
      <c r="C202" s="26" t="n">
        <v>1034084</v>
      </c>
      <c r="D202" s="27" t="n">
        <v>4.842601021</v>
      </c>
      <c r="E202" s="28" t="n">
        <v>12540.3</v>
      </c>
      <c r="F202" s="29" t="n">
        <v>0.24</v>
      </c>
      <c r="G202" s="29" t="n">
        <v>0.2297</v>
      </c>
      <c r="H202" s="29" t="n">
        <v>0.08649999999999999</v>
      </c>
      <c r="I202" s="29" t="n">
        <v>0.0772</v>
      </c>
      <c r="J202" s="29" t="n">
        <v>0.0503</v>
      </c>
      <c r="K202" s="29" t="n">
        <v>0.0355</v>
      </c>
      <c r="L202" s="29" t="n">
        <v>0.0386</v>
      </c>
      <c r="M202" s="29" t="n">
        <v>0.0249</v>
      </c>
      <c r="N202" s="26" t="n">
        <v>241.7321</v>
      </c>
      <c r="O202" s="26" t="n">
        <v>635.3017</v>
      </c>
      <c r="P202" s="29" t="n">
        <v>0.1858</v>
      </c>
      <c r="Q202" s="29" t="n">
        <v>0.1388</v>
      </c>
      <c r="R202" s="30" t="n">
        <v>72</v>
      </c>
    </row>
    <row r="203">
      <c r="A203" t="inlineStr">
        <is>
          <t>LA</t>
        </is>
      </c>
      <c r="B203" t="n">
        <v>2014</v>
      </c>
      <c r="C203" s="21" t="n">
        <v>810349</v>
      </c>
      <c r="D203" s="22" t="n">
        <v>5.597265497</v>
      </c>
      <c r="E203" s="15" t="n">
        <v>10997.31</v>
      </c>
      <c r="F203" s="23" t="n">
        <v>0.2639</v>
      </c>
      <c r="G203" s="23" t="n">
        <v>0.1456</v>
      </c>
      <c r="H203" s="23" t="n">
        <v>0.08450000000000001</v>
      </c>
      <c r="I203" s="23" t="n">
        <v>0.0743</v>
      </c>
      <c r="J203" s="23" t="n">
        <v>0.0228</v>
      </c>
      <c r="K203" s="23" t="n">
        <v>0.091</v>
      </c>
      <c r="L203" s="23" t="n">
        <v>0.0408</v>
      </c>
      <c r="M203" s="23" t="n">
        <v>0.0368</v>
      </c>
      <c r="N203" s="21" t="n">
        <v>319.1464</v>
      </c>
      <c r="O203" s="21" t="n">
        <v>819.6072</v>
      </c>
      <c r="P203" s="23" t="n">
        <v>0.1857</v>
      </c>
      <c r="Q203" s="23" t="n">
        <v>0.3114</v>
      </c>
      <c r="R203" s="24" t="n">
        <v>69</v>
      </c>
    </row>
    <row r="204">
      <c r="A204" s="25" t="inlineStr">
        <is>
          <t>LA</t>
        </is>
      </c>
      <c r="B204" s="25" t="n">
        <v>2015</v>
      </c>
      <c r="C204" s="26" t="n">
        <v>830835</v>
      </c>
      <c r="D204" s="27" t="n">
        <v>5.697497085</v>
      </c>
      <c r="E204" s="28" t="n">
        <v>11265.53</v>
      </c>
      <c r="F204" s="29" t="n">
        <v>0.2592</v>
      </c>
      <c r="G204" s="29" t="n">
        <v>0.1526</v>
      </c>
      <c r="H204" s="29" t="n">
        <v>0.08599999999999999</v>
      </c>
      <c r="I204" s="29" t="n">
        <v>0.07439999999999999</v>
      </c>
      <c r="J204" s="29" t="n">
        <v>0.0233</v>
      </c>
      <c r="K204" s="29" t="n">
        <v>0.0858</v>
      </c>
      <c r="L204" s="29" t="n">
        <v>0.0416</v>
      </c>
      <c r="M204" s="29" t="n">
        <v>0.037</v>
      </c>
      <c r="N204" s="26" t="n">
        <v>311.9214</v>
      </c>
      <c r="O204" s="26" t="n">
        <v>830.9468000000001</v>
      </c>
      <c r="P204" s="29" t="n">
        <v>0.1815</v>
      </c>
      <c r="Q204" s="29" t="n">
        <v>0.304</v>
      </c>
      <c r="R204" s="30" t="n">
        <v>70</v>
      </c>
    </row>
    <row r="205">
      <c r="A205" t="inlineStr">
        <is>
          <t>LA</t>
        </is>
      </c>
      <c r="B205" t="n">
        <v>2016</v>
      </c>
      <c r="C205" s="21" t="n">
        <v>851190</v>
      </c>
      <c r="D205" s="22" t="n">
        <v>5.784843174</v>
      </c>
      <c r="E205" s="15" t="n">
        <v>11399.54</v>
      </c>
      <c r="F205" s="23" t="n">
        <v>0.2654</v>
      </c>
      <c r="G205" s="23" t="n">
        <v>0.1574</v>
      </c>
      <c r="H205" s="23" t="n">
        <v>0.0848</v>
      </c>
      <c r="I205" s="23" t="n">
        <v>0.07489999999999999</v>
      </c>
      <c r="J205" s="23" t="n">
        <v>0.0196</v>
      </c>
      <c r="K205" s="23" t="n">
        <v>0.0814</v>
      </c>
      <c r="L205" s="23" t="n">
        <v>0.0415</v>
      </c>
      <c r="M205" s="23" t="n">
        <v>0.0383</v>
      </c>
      <c r="N205" s="21" t="n">
        <v>310.5507</v>
      </c>
      <c r="O205" s="21" t="n">
        <v>835.9407</v>
      </c>
      <c r="P205" s="23" t="n">
        <v>0.1846</v>
      </c>
      <c r="Q205" s="23" t="n">
        <v>0.299</v>
      </c>
      <c r="R205" s="24" t="n">
        <v>70</v>
      </c>
    </row>
    <row r="206">
      <c r="A206" s="25" t="inlineStr">
        <is>
          <t>LA</t>
        </is>
      </c>
      <c r="B206" s="25" t="n">
        <v>2017</v>
      </c>
      <c r="C206" s="26" t="n">
        <v>868977</v>
      </c>
      <c r="D206" s="27" t="n">
        <v>5.76669539</v>
      </c>
      <c r="E206" s="28" t="n">
        <v>11539.09</v>
      </c>
      <c r="F206" s="29" t="n">
        <v>0.2624</v>
      </c>
      <c r="G206" s="29" t="n">
        <v>0.1669</v>
      </c>
      <c r="H206" s="29" t="n">
        <v>0.0853</v>
      </c>
      <c r="I206" s="29" t="n">
        <v>0.0771</v>
      </c>
      <c r="J206" s="29" t="n">
        <v>0.0189</v>
      </c>
      <c r="K206" s="29" t="n">
        <v>0.0762</v>
      </c>
      <c r="L206" s="29" t="n">
        <v>0.042</v>
      </c>
      <c r="M206" s="29" t="n">
        <v>0.0387</v>
      </c>
      <c r="N206" s="26" t="n">
        <v>307.9741</v>
      </c>
      <c r="O206" s="26" t="n">
        <v>842.02</v>
      </c>
      <c r="P206" s="29" t="n">
        <v>0.1819</v>
      </c>
      <c r="Q206" s="29" t="n">
        <v>0.2952</v>
      </c>
      <c r="R206" s="30" t="n">
        <v>70</v>
      </c>
    </row>
    <row r="207">
      <c r="A207" t="inlineStr">
        <is>
          <t>LA</t>
        </is>
      </c>
      <c r="B207" t="n">
        <v>2018</v>
      </c>
      <c r="C207" s="21" t="n">
        <v>892776</v>
      </c>
      <c r="D207" s="22" t="n">
        <v>5.8887346</v>
      </c>
      <c r="E207" s="15" t="n">
        <v>11949.15</v>
      </c>
      <c r="F207" s="23" t="n">
        <v>0.2557</v>
      </c>
      <c r="G207" s="23" t="n">
        <v>0.1751</v>
      </c>
      <c r="H207" s="23" t="n">
        <v>0.08409999999999999</v>
      </c>
      <c r="I207" s="23" t="n">
        <v>0.077</v>
      </c>
      <c r="J207" s="23" t="n">
        <v>0.0219</v>
      </c>
      <c r="K207" s="23" t="n">
        <v>0.07000000000000001</v>
      </c>
      <c r="L207" s="23" t="n">
        <v>0.0423</v>
      </c>
      <c r="M207" s="23" t="n">
        <v>0.039</v>
      </c>
      <c r="N207" s="21" t="n">
        <v>301.297</v>
      </c>
      <c r="O207" s="21" t="n">
        <v>816.5928</v>
      </c>
      <c r="P207" s="23" t="n">
        <v>0.1865</v>
      </c>
      <c r="Q207" s="23" t="n">
        <v>0.2881</v>
      </c>
      <c r="R207" s="24" t="n">
        <v>70</v>
      </c>
    </row>
    <row r="208">
      <c r="A208" s="25" t="inlineStr">
        <is>
          <t>LA</t>
        </is>
      </c>
      <c r="B208" s="25" t="n">
        <v>2019</v>
      </c>
      <c r="C208" s="26" t="n">
        <v>913689</v>
      </c>
      <c r="D208" s="27" t="n">
        <v>5.786635967</v>
      </c>
      <c r="E208" s="28" t="n">
        <v>12204.39</v>
      </c>
      <c r="F208" s="29" t="n">
        <v>0.2516</v>
      </c>
      <c r="G208" s="29" t="n">
        <v>0.1782</v>
      </c>
      <c r="H208" s="29" t="n">
        <v>0.0844</v>
      </c>
      <c r="I208" s="29" t="n">
        <v>0.07489999999999999</v>
      </c>
      <c r="J208" s="29" t="n">
        <v>0.0213</v>
      </c>
      <c r="K208" s="29" t="n">
        <v>0.0659</v>
      </c>
      <c r="L208" s="29" t="n">
        <v>0.0426</v>
      </c>
      <c r="M208" s="29" t="n">
        <v>0.0405</v>
      </c>
      <c r="N208" s="26" t="n">
        <v>294.3135</v>
      </c>
      <c r="O208" s="26" t="n">
        <v>790.3295000000001</v>
      </c>
      <c r="P208" s="29" t="n">
        <v>0.1886</v>
      </c>
      <c r="Q208" s="29" t="n">
        <v>0.2746</v>
      </c>
      <c r="R208" s="30" t="n">
        <v>70</v>
      </c>
    </row>
    <row r="209">
      <c r="A209" t="inlineStr">
        <is>
          <t>LA</t>
        </is>
      </c>
      <c r="B209" t="n">
        <v>2020</v>
      </c>
      <c r="C209" s="21" t="n">
        <v>930754</v>
      </c>
      <c r="D209" s="22" t="n">
        <v>5.516386188</v>
      </c>
      <c r="E209" s="15" t="n">
        <v>12094.87</v>
      </c>
      <c r="F209" s="23" t="n">
        <v>0.2441</v>
      </c>
      <c r="G209" s="23" t="n">
        <v>0.1649</v>
      </c>
      <c r="H209" s="23" t="n">
        <v>0.07870000000000001</v>
      </c>
      <c r="I209" s="23" t="n">
        <v>0.0927</v>
      </c>
      <c r="J209" s="23" t="n">
        <v>0.0234</v>
      </c>
      <c r="K209" s="23" t="n">
        <v>0.0703</v>
      </c>
      <c r="L209" s="23" t="n">
        <v>0.0363</v>
      </c>
      <c r="M209" s="23" t="n">
        <v>0.0423</v>
      </c>
      <c r="N209" s="21" t="n">
        <v>260.6946</v>
      </c>
      <c r="O209" s="21" t="n">
        <v>653.4808</v>
      </c>
      <c r="P209" s="23" t="n">
        <v>0.1863</v>
      </c>
      <c r="Q209" s="23" t="n">
        <v>0.258</v>
      </c>
      <c r="R209" s="24" t="n">
        <v>71</v>
      </c>
    </row>
    <row r="210">
      <c r="A210" s="25" t="inlineStr">
        <is>
          <t>LA</t>
        </is>
      </c>
      <c r="B210" s="25" t="n">
        <v>2021</v>
      </c>
      <c r="C210" s="26" t="n">
        <v>939423</v>
      </c>
      <c r="D210" s="27" t="n">
        <v>5.155581031</v>
      </c>
      <c r="E210" s="28" t="n">
        <v>12477.39</v>
      </c>
      <c r="F210" s="29" t="n">
        <v>0.2323</v>
      </c>
      <c r="G210" s="29" t="n">
        <v>0.1794</v>
      </c>
      <c r="H210" s="29" t="n">
        <v>0.08740000000000001</v>
      </c>
      <c r="I210" s="29" t="n">
        <v>0.0786</v>
      </c>
      <c r="J210" s="29" t="n">
        <v>0.0249</v>
      </c>
      <c r="K210" s="29" t="n">
        <v>0.0667</v>
      </c>
      <c r="L210" s="29" t="n">
        <v>0.0382</v>
      </c>
      <c r="M210" s="29" t="n">
        <v>0.0438</v>
      </c>
      <c r="N210" s="26" t="n">
        <v>244.4663</v>
      </c>
      <c r="O210" s="26" t="n">
        <v>657.2578</v>
      </c>
      <c r="P210" s="29" t="n">
        <v>0.1822</v>
      </c>
      <c r="Q210" s="29" t="n">
        <v>0.2418</v>
      </c>
      <c r="R210" s="30" t="n">
        <v>71</v>
      </c>
    </row>
    <row r="211">
      <c r="A211" t="inlineStr">
        <is>
          <t>LA</t>
        </is>
      </c>
      <c r="B211" t="n">
        <v>2022</v>
      </c>
      <c r="C211" s="21" t="n">
        <v>951359</v>
      </c>
      <c r="D211" s="22" t="n">
        <v>5.063176282</v>
      </c>
      <c r="E211" s="15" t="n">
        <v>13055.28</v>
      </c>
      <c r="F211" s="23" t="n">
        <v>0.2196</v>
      </c>
      <c r="G211" s="23" t="n">
        <v>0.1858</v>
      </c>
      <c r="H211" s="23" t="n">
        <v>0.0866</v>
      </c>
      <c r="I211" s="23" t="n">
        <v>0.08500000000000001</v>
      </c>
      <c r="J211" s="23" t="n">
        <v>0.0287</v>
      </c>
      <c r="K211" s="23" t="n">
        <v>0.063</v>
      </c>
      <c r="L211" s="23" t="n">
        <v>0.0378</v>
      </c>
      <c r="M211" s="23" t="n">
        <v>0.044</v>
      </c>
      <c r="N211" s="21" t="n">
        <v>240.6027</v>
      </c>
      <c r="O211" s="21" t="n">
        <v>661.0155</v>
      </c>
      <c r="P211" s="23" t="n">
        <v>0.1796</v>
      </c>
      <c r="Q211" s="23" t="n">
        <v>0.2261</v>
      </c>
      <c r="R211" s="24" t="n">
        <v>72</v>
      </c>
    </row>
    <row r="212">
      <c r="A212" s="25" t="inlineStr">
        <is>
          <t>LA</t>
        </is>
      </c>
      <c r="B212" s="25" t="n">
        <v>2023</v>
      </c>
      <c r="C212" s="26" t="n">
        <v>966338</v>
      </c>
      <c r="D212" s="27" t="n">
        <v>4.983502327</v>
      </c>
      <c r="E212" s="28" t="n">
        <v>13805.14</v>
      </c>
      <c r="F212" s="29" t="n">
        <v>0.2162</v>
      </c>
      <c r="G212" s="29" t="n">
        <v>0.1949</v>
      </c>
      <c r="H212" s="29" t="n">
        <v>0.0856</v>
      </c>
      <c r="I212" s="29" t="n">
        <v>0.0761</v>
      </c>
      <c r="J212" s="29" t="n">
        <v>0.0402</v>
      </c>
      <c r="K212" s="29" t="n">
        <v>0.0581</v>
      </c>
      <c r="L212" s="29" t="n">
        <v>0.0364</v>
      </c>
      <c r="M212" s="29" t="n">
        <v>0.0455</v>
      </c>
      <c r="N212" s="26" t="n">
        <v>241.0904</v>
      </c>
      <c r="O212" s="26" t="n">
        <v>652.3440000000001</v>
      </c>
      <c r="P212" s="29" t="n">
        <v>0.1816</v>
      </c>
      <c r="Q212" s="29" t="n">
        <v>0.199</v>
      </c>
      <c r="R212" s="30" t="n">
        <v>72</v>
      </c>
    </row>
    <row r="213">
      <c r="A213" t="inlineStr">
        <is>
          <t>LA</t>
        </is>
      </c>
      <c r="B213" t="n">
        <v>2024</v>
      </c>
      <c r="C213" s="21" t="n">
        <v>983259</v>
      </c>
      <c r="D213" s="22" t="n">
        <v>4.937783869</v>
      </c>
      <c r="E213" s="15" t="n">
        <v>14246.68</v>
      </c>
      <c r="F213" s="23" t="n">
        <v>0.2149</v>
      </c>
      <c r="G213" s="23" t="n">
        <v>0.2032</v>
      </c>
      <c r="H213" s="23" t="n">
        <v>0.08400000000000001</v>
      </c>
      <c r="I213" s="23" t="n">
        <v>0.0694</v>
      </c>
      <c r="J213" s="23" t="n">
        <v>0.0434</v>
      </c>
      <c r="K213" s="23" t="n">
        <v>0.0547</v>
      </c>
      <c r="L213" s="23" t="n">
        <v>0.0348</v>
      </c>
      <c r="M213" s="23" t="n">
        <v>0.047</v>
      </c>
      <c r="N213" s="21" t="n">
        <v>243.7823</v>
      </c>
      <c r="O213" s="21" t="n">
        <v>644.7437</v>
      </c>
      <c r="P213" s="23" t="n">
        <v>0.1812</v>
      </c>
      <c r="Q213" s="23" t="n">
        <v>0.171</v>
      </c>
      <c r="R213" s="24" t="n">
        <v>73</v>
      </c>
    </row>
    <row r="214">
      <c r="A214" s="25" t="inlineStr">
        <is>
          <t>MA</t>
        </is>
      </c>
      <c r="B214" s="25" t="n">
        <v>2014</v>
      </c>
      <c r="C214" s="26" t="n">
        <v>1248444</v>
      </c>
      <c r="D214" s="27" t="n">
        <v>7.572790693</v>
      </c>
      <c r="E214" s="28" t="n">
        <v>9053.59</v>
      </c>
      <c r="F214" s="29" t="n">
        <v>0.2839</v>
      </c>
      <c r="G214" s="29" t="n">
        <v>0.1683</v>
      </c>
      <c r="H214" s="29" t="n">
        <v>0.1171</v>
      </c>
      <c r="I214" s="29" t="n">
        <v>0.0993</v>
      </c>
      <c r="J214" s="29" t="n">
        <v>0.0178</v>
      </c>
      <c r="K214" s="29" t="n">
        <v>0.0622</v>
      </c>
      <c r="L214" s="29" t="n">
        <v>0.0462</v>
      </c>
      <c r="M214" s="29" t="n">
        <v>0.0281</v>
      </c>
      <c r="N214" s="26" t="n">
        <v>300.9453</v>
      </c>
      <c r="O214" s="26" t="n">
        <v>732.5275</v>
      </c>
      <c r="P214" s="29" t="n">
        <v>0.1874</v>
      </c>
      <c r="Q214" s="29" t="n">
        <v>0.2755</v>
      </c>
      <c r="R214" s="30" t="n">
        <v>71</v>
      </c>
    </row>
    <row r="215">
      <c r="A215" t="inlineStr">
        <is>
          <t>MA</t>
        </is>
      </c>
      <c r="B215" t="n">
        <v>2015</v>
      </c>
      <c r="C215" s="21" t="n">
        <v>1278414</v>
      </c>
      <c r="D215" s="22" t="n">
        <v>7.964327185</v>
      </c>
      <c r="E215" s="15" t="n">
        <v>9325.27</v>
      </c>
      <c r="F215" s="23" t="n">
        <v>0.2857</v>
      </c>
      <c r="G215" s="23" t="n">
        <v>0.1737</v>
      </c>
      <c r="H215" s="23" t="n">
        <v>0.1162</v>
      </c>
      <c r="I215" s="23" t="n">
        <v>0.0959</v>
      </c>
      <c r="J215" s="23" t="n">
        <v>0.0185</v>
      </c>
      <c r="K215" s="23" t="n">
        <v>0.0641</v>
      </c>
      <c r="L215" s="23" t="n">
        <v>0.0452</v>
      </c>
      <c r="M215" s="23" t="n">
        <v>0.0276</v>
      </c>
      <c r="N215" s="21" t="n">
        <v>306.2072</v>
      </c>
      <c r="O215" s="21" t="n">
        <v>752.2408</v>
      </c>
      <c r="P215" s="23" t="n">
        <v>0.1924</v>
      </c>
      <c r="Q215" s="23" t="n">
        <v>0.2834</v>
      </c>
      <c r="R215" s="24" t="n">
        <v>71</v>
      </c>
    </row>
    <row r="216">
      <c r="A216" s="25" t="inlineStr">
        <is>
          <t>MA</t>
        </is>
      </c>
      <c r="B216" s="25" t="n">
        <v>2016</v>
      </c>
      <c r="C216" s="26" t="n">
        <v>1304985</v>
      </c>
      <c r="D216" s="27" t="n">
        <v>8.147544033999999</v>
      </c>
      <c r="E216" s="28" t="n">
        <v>9411.32</v>
      </c>
      <c r="F216" s="29" t="n">
        <v>0.2898</v>
      </c>
      <c r="G216" s="29" t="n">
        <v>0.1831</v>
      </c>
      <c r="H216" s="29" t="n">
        <v>0.114</v>
      </c>
      <c r="I216" s="29" t="n">
        <v>0.08550000000000001</v>
      </c>
      <c r="J216" s="29" t="n">
        <v>0.0159</v>
      </c>
      <c r="K216" s="29" t="n">
        <v>0.0634</v>
      </c>
      <c r="L216" s="29" t="n">
        <v>0.0452</v>
      </c>
      <c r="M216" s="29" t="n">
        <v>0.0303</v>
      </c>
      <c r="N216" s="26" t="n">
        <v>301.3941</v>
      </c>
      <c r="O216" s="26" t="n">
        <v>747.7213</v>
      </c>
      <c r="P216" s="29" t="n">
        <v>0.194</v>
      </c>
      <c r="Q216" s="29" t="n">
        <v>0.2795</v>
      </c>
      <c r="R216" s="30" t="n">
        <v>71</v>
      </c>
    </row>
    <row r="217">
      <c r="A217" t="inlineStr">
        <is>
          <t>MA</t>
        </is>
      </c>
      <c r="B217" t="n">
        <v>2017</v>
      </c>
      <c r="C217" s="21" t="n">
        <v>1334803</v>
      </c>
      <c r="D217" s="22" t="n">
        <v>8.259925132999999</v>
      </c>
      <c r="E217" s="15" t="n">
        <v>9590.559999999999</v>
      </c>
      <c r="F217" s="23" t="n">
        <v>0.2908</v>
      </c>
      <c r="G217" s="23" t="n">
        <v>0.1923</v>
      </c>
      <c r="H217" s="23" t="n">
        <v>0.113</v>
      </c>
      <c r="I217" s="23" t="n">
        <v>0.0809</v>
      </c>
      <c r="J217" s="23" t="n">
        <v>0.015</v>
      </c>
      <c r="K217" s="23" t="n">
        <v>0.0629</v>
      </c>
      <c r="L217" s="23" t="n">
        <v>0.0447</v>
      </c>
      <c r="M217" s="23" t="n">
        <v>0.0317</v>
      </c>
      <c r="N217" s="21" t="n">
        <v>302.5976</v>
      </c>
      <c r="O217" s="21" t="n">
        <v>741.9118</v>
      </c>
      <c r="P217" s="23" t="n">
        <v>0.1945</v>
      </c>
      <c r="Q217" s="23" t="n">
        <v>0.2709</v>
      </c>
      <c r="R217" s="24" t="n">
        <v>71</v>
      </c>
    </row>
    <row r="218">
      <c r="A218" s="25" t="inlineStr">
        <is>
          <t>MA</t>
        </is>
      </c>
      <c r="B218" s="25" t="n">
        <v>2018</v>
      </c>
      <c r="C218" s="26" t="n">
        <v>1365950</v>
      </c>
      <c r="D218" s="27" t="n">
        <v>8.643873478</v>
      </c>
      <c r="E218" s="28" t="n">
        <v>10003.37</v>
      </c>
      <c r="F218" s="29" t="n">
        <v>0.2857</v>
      </c>
      <c r="G218" s="29" t="n">
        <v>0.2074</v>
      </c>
      <c r="H218" s="29" t="n">
        <v>0.1101</v>
      </c>
      <c r="I218" s="29" t="n">
        <v>0.07580000000000001</v>
      </c>
      <c r="J218" s="29" t="n">
        <v>0.016</v>
      </c>
      <c r="K218" s="29" t="n">
        <v>0.062</v>
      </c>
      <c r="L218" s="29" t="n">
        <v>0.0437</v>
      </c>
      <c r="M218" s="29" t="n">
        <v>0.0321</v>
      </c>
      <c r="N218" s="26" t="n">
        <v>298.8071</v>
      </c>
      <c r="O218" s="26" t="n">
        <v>735.1336</v>
      </c>
      <c r="P218" s="29" t="n">
        <v>0.1952</v>
      </c>
      <c r="Q218" s="29" t="n">
        <v>0.2592</v>
      </c>
      <c r="R218" s="30" t="n">
        <v>71</v>
      </c>
    </row>
    <row r="219">
      <c r="A219" t="inlineStr">
        <is>
          <t>MA</t>
        </is>
      </c>
      <c r="B219" t="n">
        <v>2019</v>
      </c>
      <c r="C219" s="21" t="n">
        <v>1392632</v>
      </c>
      <c r="D219" s="22" t="n">
        <v>8.846461909</v>
      </c>
      <c r="E219" s="15" t="n">
        <v>10234.18</v>
      </c>
      <c r="F219" s="23" t="n">
        <v>0.2824</v>
      </c>
      <c r="G219" s="23" t="n">
        <v>0.212</v>
      </c>
      <c r="H219" s="23" t="n">
        <v>0.1094</v>
      </c>
      <c r="I219" s="23" t="n">
        <v>0.0733</v>
      </c>
      <c r="J219" s="23" t="n">
        <v>0.0167</v>
      </c>
      <c r="K219" s="23" t="n">
        <v>0.0606</v>
      </c>
      <c r="L219" s="23" t="n">
        <v>0.0442</v>
      </c>
      <c r="M219" s="23" t="n">
        <v>0.0333</v>
      </c>
      <c r="N219" s="21" t="n">
        <v>294.9188</v>
      </c>
      <c r="O219" s="21" t="n">
        <v>722.8726</v>
      </c>
      <c r="P219" s="23" t="n">
        <v>0.196</v>
      </c>
      <c r="Q219" s="23" t="n">
        <v>0.2496</v>
      </c>
      <c r="R219" s="24" t="n">
        <v>72</v>
      </c>
    </row>
    <row r="220">
      <c r="A220" s="25" t="inlineStr">
        <is>
          <t>MA</t>
        </is>
      </c>
      <c r="B220" s="25" t="n">
        <v>2020</v>
      </c>
      <c r="C220" s="26" t="n">
        <v>1417832</v>
      </c>
      <c r="D220" s="27" t="n">
        <v>8.249041051000001</v>
      </c>
      <c r="E220" s="28" t="n">
        <v>9570.620000000001</v>
      </c>
      <c r="F220" s="29" t="n">
        <v>0.2822</v>
      </c>
      <c r="G220" s="29" t="n">
        <v>0.2053</v>
      </c>
      <c r="H220" s="29" t="n">
        <v>0.106</v>
      </c>
      <c r="I220" s="29" t="n">
        <v>0.09</v>
      </c>
      <c r="J220" s="29" t="n">
        <v>0.0192</v>
      </c>
      <c r="K220" s="29" t="n">
        <v>0.0608</v>
      </c>
      <c r="L220" s="29" t="n">
        <v>0.0388</v>
      </c>
      <c r="M220" s="29" t="n">
        <v>0.0352</v>
      </c>
      <c r="N220" s="26" t="n">
        <v>255.071</v>
      </c>
      <c r="O220" s="26" t="n">
        <v>587.1521</v>
      </c>
      <c r="P220" s="29" t="n">
        <v>0.1972</v>
      </c>
      <c r="Q220" s="29" t="n">
        <v>0.2469</v>
      </c>
      <c r="R220" s="30" t="n">
        <v>72</v>
      </c>
    </row>
    <row r="221">
      <c r="A221" t="inlineStr">
        <is>
          <t>MA</t>
        </is>
      </c>
      <c r="B221" t="n">
        <v>2021</v>
      </c>
      <c r="C221" s="21" t="n">
        <v>1436010</v>
      </c>
      <c r="D221" s="22" t="n">
        <v>8.926191961000001</v>
      </c>
      <c r="E221" s="15" t="n">
        <v>10572.37</v>
      </c>
      <c r="F221" s="23" t="n">
        <v>0.271</v>
      </c>
      <c r="G221" s="23" t="n">
        <v>0.2222</v>
      </c>
      <c r="H221" s="23" t="n">
        <v>0.1148</v>
      </c>
      <c r="I221" s="23" t="n">
        <v>0.0772</v>
      </c>
      <c r="J221" s="23" t="n">
        <v>0.019</v>
      </c>
      <c r="K221" s="23" t="n">
        <v>0.0565</v>
      </c>
      <c r="L221" s="23" t="n">
        <v>0.0409</v>
      </c>
      <c r="M221" s="23" t="n">
        <v>0.0318</v>
      </c>
      <c r="N221" s="21" t="n">
        <v>255.7521</v>
      </c>
      <c r="O221" s="21" t="n">
        <v>618.1591</v>
      </c>
      <c r="P221" s="23" t="n">
        <v>0.1934</v>
      </c>
      <c r="Q221" s="23" t="n">
        <v>0.2433</v>
      </c>
      <c r="R221" s="24" t="n">
        <v>72</v>
      </c>
    </row>
    <row r="222">
      <c r="A222" s="25" t="inlineStr">
        <is>
          <t>MA</t>
        </is>
      </c>
      <c r="B222" s="25" t="n">
        <v>2022</v>
      </c>
      <c r="C222" s="26" t="n">
        <v>1463551</v>
      </c>
      <c r="D222" s="27" t="n">
        <v>8.985103498999999</v>
      </c>
      <c r="E222" s="28" t="n">
        <v>10916.1</v>
      </c>
      <c r="F222" s="29" t="n">
        <v>0.2661</v>
      </c>
      <c r="G222" s="29" t="n">
        <v>0.2276</v>
      </c>
      <c r="H222" s="29" t="n">
        <v>0.1112</v>
      </c>
      <c r="I222" s="29" t="n">
        <v>0.0833</v>
      </c>
      <c r="J222" s="29" t="n">
        <v>0.0213</v>
      </c>
      <c r="K222" s="29" t="n">
        <v>0.0538</v>
      </c>
      <c r="L222" s="29" t="n">
        <v>0.0403</v>
      </c>
      <c r="M222" s="29" t="n">
        <v>0.0323</v>
      </c>
      <c r="N222" s="26" t="n">
        <v>250.2169</v>
      </c>
      <c r="O222" s="26" t="n">
        <v>623.6669000000001</v>
      </c>
      <c r="P222" s="29" t="n">
        <v>0.1922</v>
      </c>
      <c r="Q222" s="29" t="n">
        <v>0.2388</v>
      </c>
      <c r="R222" s="30" t="n">
        <v>73</v>
      </c>
    </row>
    <row r="223">
      <c r="A223" t="inlineStr">
        <is>
          <t>MA</t>
        </is>
      </c>
      <c r="B223" t="n">
        <v>2023</v>
      </c>
      <c r="C223" s="21" t="n">
        <v>1491384</v>
      </c>
      <c r="D223" s="22" t="n">
        <v>9.342237159</v>
      </c>
      <c r="E223" s="15" t="n">
        <v>11728.55</v>
      </c>
      <c r="F223" s="23" t="n">
        <v>0.2609</v>
      </c>
      <c r="G223" s="23" t="n">
        <v>0.233</v>
      </c>
      <c r="H223" s="23" t="n">
        <v>0.107</v>
      </c>
      <c r="I223" s="23" t="n">
        <v>0.0759</v>
      </c>
      <c r="J223" s="23" t="n">
        <v>0.0315</v>
      </c>
      <c r="K223" s="23" t="n">
        <v>0.0501</v>
      </c>
      <c r="L223" s="23" t="n">
        <v>0.0392</v>
      </c>
      <c r="M223" s="23" t="n">
        <v>0.0334</v>
      </c>
      <c r="N223" s="21" t="n">
        <v>258.9544</v>
      </c>
      <c r="O223" s="21" t="n">
        <v>631.8619</v>
      </c>
      <c r="P223" s="23" t="n">
        <v>0.1917</v>
      </c>
      <c r="Q223" s="23" t="n">
        <v>0.2322</v>
      </c>
      <c r="R223" s="24" t="n">
        <v>73</v>
      </c>
    </row>
    <row r="224">
      <c r="A224" s="25" t="inlineStr">
        <is>
          <t>MA</t>
        </is>
      </c>
      <c r="B224" s="25" t="n">
        <v>2024</v>
      </c>
      <c r="C224" s="26" t="n">
        <v>1520983</v>
      </c>
      <c r="D224" s="27" t="n">
        <v>9.690564332999999</v>
      </c>
      <c r="E224" s="28" t="n">
        <v>12293.47</v>
      </c>
      <c r="F224" s="29" t="n">
        <v>0.2611</v>
      </c>
      <c r="G224" s="29" t="n">
        <v>0.2396</v>
      </c>
      <c r="H224" s="29" t="n">
        <v>0.1061</v>
      </c>
      <c r="I224" s="29" t="n">
        <v>0.0722</v>
      </c>
      <c r="J224" s="29" t="n">
        <v>0.0268</v>
      </c>
      <c r="K224" s="29" t="n">
        <v>0.0487</v>
      </c>
      <c r="L224" s="29" t="n">
        <v>0.0378</v>
      </c>
      <c r="M224" s="29" t="n">
        <v>0.0346</v>
      </c>
      <c r="N224" s="26" t="n">
        <v>262.3711</v>
      </c>
      <c r="O224" s="26" t="n">
        <v>646.3796</v>
      </c>
      <c r="P224" s="29" t="n">
        <v>0.1954</v>
      </c>
      <c r="Q224" s="29" t="n">
        <v>0.2298</v>
      </c>
      <c r="R224" s="30" t="n">
        <v>74</v>
      </c>
    </row>
    <row r="225">
      <c r="A225" t="inlineStr">
        <is>
          <t>MD</t>
        </is>
      </c>
      <c r="B225" t="n">
        <v>2014</v>
      </c>
      <c r="C225" s="21" t="n">
        <v>953240</v>
      </c>
      <c r="D225" s="22" t="n">
        <v>6.841291471</v>
      </c>
      <c r="E225" s="15" t="n">
        <v>9393.959999999999</v>
      </c>
      <c r="F225" s="23" t="n">
        <v>0.3068</v>
      </c>
      <c r="G225" s="23" t="n">
        <v>0.1631</v>
      </c>
      <c r="H225" s="23" t="n">
        <v>0.1101</v>
      </c>
      <c r="I225" s="23" t="n">
        <v>0.0914</v>
      </c>
      <c r="J225" s="23" t="n">
        <v>0.0206</v>
      </c>
      <c r="K225" s="23" t="n">
        <v>0.0372</v>
      </c>
      <c r="L225" s="23" t="n">
        <v>0.0532</v>
      </c>
      <c r="M225" s="23" t="n">
        <v>0.0232</v>
      </c>
      <c r="N225" s="21" t="n">
        <v>295.4845</v>
      </c>
      <c r="O225" s="21" t="n">
        <v>690.1636</v>
      </c>
      <c r="P225" s="23" t="n">
        <v>0.2123</v>
      </c>
      <c r="Q225" s="23" t="n">
        <v>0.1762</v>
      </c>
      <c r="R225" s="24" t="n">
        <v>72</v>
      </c>
    </row>
    <row r="226">
      <c r="A226" s="25" t="inlineStr">
        <is>
          <t>MD</t>
        </is>
      </c>
      <c r="B226" s="25" t="n">
        <v>2015</v>
      </c>
      <c r="C226" s="26" t="n">
        <v>980228</v>
      </c>
      <c r="D226" s="27" t="n">
        <v>7.139592364</v>
      </c>
      <c r="E226" s="28" t="n">
        <v>9526.76</v>
      </c>
      <c r="F226" s="29" t="n">
        <v>0.2823</v>
      </c>
      <c r="G226" s="29" t="n">
        <v>0.1691</v>
      </c>
      <c r="H226" s="29" t="n">
        <v>0.1118</v>
      </c>
      <c r="I226" s="29" t="n">
        <v>0.0924</v>
      </c>
      <c r="J226" s="29" t="n">
        <v>0.0218</v>
      </c>
      <c r="K226" s="29" t="n">
        <v>0.0389</v>
      </c>
      <c r="L226" s="29" t="n">
        <v>0.0539</v>
      </c>
      <c r="M226" s="29" t="n">
        <v>0.0245</v>
      </c>
      <c r="N226" s="26" t="n">
        <v>284.8931</v>
      </c>
      <c r="O226" s="26" t="n">
        <v>689.1203</v>
      </c>
      <c r="P226" s="29" t="n">
        <v>0.2051</v>
      </c>
      <c r="Q226" s="29" t="n">
        <v>0.1787</v>
      </c>
      <c r="R226" s="30" t="n">
        <v>72</v>
      </c>
    </row>
    <row r="227">
      <c r="A227" t="inlineStr">
        <is>
          <t>MD</t>
        </is>
      </c>
      <c r="B227" t="n">
        <v>2016</v>
      </c>
      <c r="C227" s="21" t="n">
        <v>1006621</v>
      </c>
      <c r="D227" s="22" t="n">
        <v>7.242803366</v>
      </c>
      <c r="E227" s="15" t="n">
        <v>9559.969999999999</v>
      </c>
      <c r="F227" s="23" t="n">
        <v>0.279</v>
      </c>
      <c r="G227" s="23" t="n">
        <v>0.1692</v>
      </c>
      <c r="H227" s="23" t="n">
        <v>0.1101</v>
      </c>
      <c r="I227" s="23" t="n">
        <v>0.0891</v>
      </c>
      <c r="J227" s="23" t="n">
        <v>0.018</v>
      </c>
      <c r="K227" s="23" t="n">
        <v>0.0401</v>
      </c>
      <c r="L227" s="23" t="n">
        <v>0.0539</v>
      </c>
      <c r="M227" s="23" t="n">
        <v>0.0272</v>
      </c>
      <c r="N227" s="21" t="n">
        <v>274.2728</v>
      </c>
      <c r="O227" s="21" t="n">
        <v>667.496</v>
      </c>
      <c r="P227" s="23" t="n">
        <v>0.1987</v>
      </c>
      <c r="Q227" s="23" t="n">
        <v>0.1795</v>
      </c>
      <c r="R227" s="24" t="n">
        <v>72</v>
      </c>
    </row>
    <row r="228">
      <c r="A228" s="25" t="inlineStr">
        <is>
          <t>MD</t>
        </is>
      </c>
      <c r="B228" s="25" t="n">
        <v>2017</v>
      </c>
      <c r="C228" s="26" t="n">
        <v>1032279</v>
      </c>
      <c r="D228" s="27" t="n">
        <v>7.436588922</v>
      </c>
      <c r="E228" s="28" t="n">
        <v>9805.559999999999</v>
      </c>
      <c r="F228" s="29" t="n">
        <v>0.2755</v>
      </c>
      <c r="G228" s="29" t="n">
        <v>0.1701</v>
      </c>
      <c r="H228" s="29" t="n">
        <v>0.1103</v>
      </c>
      <c r="I228" s="29" t="n">
        <v>0.0835</v>
      </c>
      <c r="J228" s="29" t="n">
        <v>0.0165</v>
      </c>
      <c r="K228" s="29" t="n">
        <v>0.0407</v>
      </c>
      <c r="L228" s="29" t="n">
        <v>0.0532</v>
      </c>
      <c r="M228" s="29" t="n">
        <v>0.0293</v>
      </c>
      <c r="N228" s="26" t="n">
        <v>266.3194</v>
      </c>
      <c r="O228" s="26" t="n">
        <v>669.9046</v>
      </c>
      <c r="P228" s="29" t="n">
        <v>0.1959</v>
      </c>
      <c r="Q228" s="29" t="n">
        <v>0.1823</v>
      </c>
      <c r="R228" s="30" t="n">
        <v>72</v>
      </c>
    </row>
    <row r="229">
      <c r="A229" t="inlineStr">
        <is>
          <t>MD</t>
        </is>
      </c>
      <c r="B229" t="n">
        <v>2018</v>
      </c>
      <c r="C229" s="21" t="n">
        <v>1062029</v>
      </c>
      <c r="D229" s="22" t="n">
        <v>7.762149651</v>
      </c>
      <c r="E229" s="15" t="n">
        <v>10100.07</v>
      </c>
      <c r="F229" s="23" t="n">
        <v>0.2659</v>
      </c>
      <c r="G229" s="23" t="n">
        <v>0.1732</v>
      </c>
      <c r="H229" s="23" t="n">
        <v>0.1094</v>
      </c>
      <c r="I229" s="23" t="n">
        <v>0.079</v>
      </c>
      <c r="J229" s="23" t="n">
        <v>0.0185</v>
      </c>
      <c r="K229" s="23" t="n">
        <v>0.0406</v>
      </c>
      <c r="L229" s="23" t="n">
        <v>0.0524</v>
      </c>
      <c r="M229" s="23" t="n">
        <v>0.0297</v>
      </c>
      <c r="N229" s="21" t="n">
        <v>256.355</v>
      </c>
      <c r="O229" s="21" t="n">
        <v>663.0047</v>
      </c>
      <c r="P229" s="23" t="n">
        <v>0.1987</v>
      </c>
      <c r="Q229" s="23" t="n">
        <v>0.18</v>
      </c>
      <c r="R229" s="24" t="n">
        <v>72</v>
      </c>
    </row>
    <row r="230">
      <c r="A230" s="25" t="inlineStr">
        <is>
          <t>MD</t>
        </is>
      </c>
      <c r="B230" s="25" t="n">
        <v>2019</v>
      </c>
      <c r="C230" s="26" t="n">
        <v>1088101</v>
      </c>
      <c r="D230" s="27" t="n">
        <v>8.088027688</v>
      </c>
      <c r="E230" s="28" t="n">
        <v>10326.62</v>
      </c>
      <c r="F230" s="29" t="n">
        <v>0.2587</v>
      </c>
      <c r="G230" s="29" t="n">
        <v>0.1751</v>
      </c>
      <c r="H230" s="29" t="n">
        <v>0.1096</v>
      </c>
      <c r="I230" s="29" t="n">
        <v>0.0756</v>
      </c>
      <c r="J230" s="29" t="n">
        <v>0.0187</v>
      </c>
      <c r="K230" s="29" t="n">
        <v>0.0394</v>
      </c>
      <c r="L230" s="29" t="n">
        <v>0.0539</v>
      </c>
      <c r="M230" s="29" t="n">
        <v>0.0286</v>
      </c>
      <c r="N230" s="26" t="n">
        <v>246.2868</v>
      </c>
      <c r="O230" s="26" t="n">
        <v>647.8006</v>
      </c>
      <c r="P230" s="29" t="n">
        <v>0.1952</v>
      </c>
      <c r="Q230" s="29" t="n">
        <v>0.1779</v>
      </c>
      <c r="R230" s="30" t="n">
        <v>72</v>
      </c>
    </row>
    <row r="231">
      <c r="A231" t="inlineStr">
        <is>
          <t>MD</t>
        </is>
      </c>
      <c r="B231" t="n">
        <v>2020</v>
      </c>
      <c r="C231" s="21" t="n">
        <v>1110838</v>
      </c>
      <c r="D231" s="22" t="n">
        <v>7.666084926</v>
      </c>
      <c r="E231" s="15" t="n">
        <v>9669.049999999999</v>
      </c>
      <c r="F231" s="23" t="n">
        <v>0.2639</v>
      </c>
      <c r="G231" s="23" t="n">
        <v>0.1703</v>
      </c>
      <c r="H231" s="23" t="n">
        <v>0.1053</v>
      </c>
      <c r="I231" s="23" t="n">
        <v>0.0784</v>
      </c>
      <c r="J231" s="23" t="n">
        <v>0.0208</v>
      </c>
      <c r="K231" s="23" t="n">
        <v>0.0393</v>
      </c>
      <c r="L231" s="23" t="n">
        <v>0.0472</v>
      </c>
      <c r="M231" s="23" t="n">
        <v>0.0308</v>
      </c>
      <c r="N231" s="21" t="n">
        <v>207.6905</v>
      </c>
      <c r="O231" s="21" t="n">
        <v>507.4516</v>
      </c>
      <c r="P231" s="23" t="n">
        <v>0.1974</v>
      </c>
      <c r="Q231" s="23" t="n">
        <v>0.1733</v>
      </c>
      <c r="R231" s="24" t="n">
        <v>73</v>
      </c>
    </row>
    <row r="232">
      <c r="A232" s="25" t="inlineStr">
        <is>
          <t>MD</t>
        </is>
      </c>
      <c r="B232" s="25" t="n">
        <v>2021</v>
      </c>
      <c r="C232" s="26" t="n">
        <v>1127238</v>
      </c>
      <c r="D232" s="27" t="n">
        <v>8.187440776000001</v>
      </c>
      <c r="E232" s="28" t="n">
        <v>10705.66</v>
      </c>
      <c r="F232" s="29" t="n">
        <v>0.251</v>
      </c>
      <c r="G232" s="29" t="n">
        <v>0.1719</v>
      </c>
      <c r="H232" s="29" t="n">
        <v>0.1171</v>
      </c>
      <c r="I232" s="29" t="n">
        <v>0.0762</v>
      </c>
      <c r="J232" s="29" t="n">
        <v>0.0207</v>
      </c>
      <c r="K232" s="29" t="n">
        <v>0.0373</v>
      </c>
      <c r="L232" s="29" t="n">
        <v>0.0476</v>
      </c>
      <c r="M232" s="29" t="n">
        <v>0.0262</v>
      </c>
      <c r="N232" s="26" t="n">
        <v>213.4413</v>
      </c>
      <c r="O232" s="26" t="n">
        <v>540.6596</v>
      </c>
      <c r="P232" s="29" t="n">
        <v>0.203</v>
      </c>
      <c r="Q232" s="29" t="n">
        <v>0.1766</v>
      </c>
      <c r="R232" s="30" t="n">
        <v>73</v>
      </c>
    </row>
    <row r="233">
      <c r="A233" t="inlineStr">
        <is>
          <t>MD</t>
        </is>
      </c>
      <c r="B233" t="n">
        <v>2022</v>
      </c>
      <c r="C233" s="21" t="n">
        <v>1149670</v>
      </c>
      <c r="D233" s="22" t="n">
        <v>8.320616362999999</v>
      </c>
      <c r="E233" s="15" t="n">
        <v>11130.01</v>
      </c>
      <c r="F233" s="23" t="n">
        <v>0.2429</v>
      </c>
      <c r="G233" s="23" t="n">
        <v>0.1778</v>
      </c>
      <c r="H233" s="23" t="n">
        <v>0.1149</v>
      </c>
      <c r="I233" s="23" t="n">
        <v>0.0824</v>
      </c>
      <c r="J233" s="23" t="n">
        <v>0.0239</v>
      </c>
      <c r="K233" s="23" t="n">
        <v>0.0362</v>
      </c>
      <c r="L233" s="23" t="n">
        <v>0.0456</v>
      </c>
      <c r="M233" s="23" t="n">
        <v>0.025</v>
      </c>
      <c r="N233" s="21" t="n">
        <v>210.9034</v>
      </c>
      <c r="O233" s="21" t="n">
        <v>539.8979</v>
      </c>
      <c r="P233" s="23" t="n">
        <v>0.1987</v>
      </c>
      <c r="Q233" s="23" t="n">
        <v>0.1741</v>
      </c>
      <c r="R233" s="24" t="n">
        <v>73</v>
      </c>
    </row>
    <row r="234">
      <c r="A234" s="25" t="inlineStr">
        <is>
          <t>MD</t>
        </is>
      </c>
      <c r="B234" s="25" t="n">
        <v>2023</v>
      </c>
      <c r="C234" s="26" t="n">
        <v>1174516</v>
      </c>
      <c r="D234" s="27" t="n">
        <v>8.61956211</v>
      </c>
      <c r="E234" s="28" t="n">
        <v>11851.81</v>
      </c>
      <c r="F234" s="29" t="n">
        <v>0.232</v>
      </c>
      <c r="G234" s="29" t="n">
        <v>0.1738</v>
      </c>
      <c r="H234" s="29" t="n">
        <v>0.1128</v>
      </c>
      <c r="I234" s="29" t="n">
        <v>0.0745</v>
      </c>
      <c r="J234" s="29" t="n">
        <v>0.0442</v>
      </c>
      <c r="K234" s="29" t="n">
        <v>0.0338</v>
      </c>
      <c r="L234" s="29" t="n">
        <v>0.0438</v>
      </c>
      <c r="M234" s="29" t="n">
        <v>0.0247</v>
      </c>
      <c r="N234" s="26" t="n">
        <v>216.2323</v>
      </c>
      <c r="O234" s="26" t="n">
        <v>553.4431</v>
      </c>
      <c r="P234" s="29" t="n">
        <v>0.199</v>
      </c>
      <c r="Q234" s="29" t="n">
        <v>0.1696</v>
      </c>
      <c r="R234" s="30" t="n">
        <v>73</v>
      </c>
    </row>
    <row r="235">
      <c r="A235" t="inlineStr">
        <is>
          <t>MD</t>
        </is>
      </c>
      <c r="B235" t="n">
        <v>2024</v>
      </c>
      <c r="C235" s="21" t="n">
        <v>1202495</v>
      </c>
      <c r="D235" s="22" t="n">
        <v>8.841533969</v>
      </c>
      <c r="E235" s="15" t="n">
        <v>12367.27</v>
      </c>
      <c r="F235" s="23" t="n">
        <v>0.2256</v>
      </c>
      <c r="G235" s="23" t="n">
        <v>0.1701</v>
      </c>
      <c r="H235" s="23" t="n">
        <v>0.1123</v>
      </c>
      <c r="I235" s="23" t="n">
        <v>0.07389999999999999</v>
      </c>
      <c r="J235" s="23" t="n">
        <v>0.0496</v>
      </c>
      <c r="K235" s="23" t="n">
        <v>0.0327</v>
      </c>
      <c r="L235" s="23" t="n">
        <v>0.042</v>
      </c>
      <c r="M235" s="23" t="n">
        <v>0.0256</v>
      </c>
      <c r="N235" s="21" t="n">
        <v>217.7465</v>
      </c>
      <c r="O235" s="21" t="n">
        <v>555.2654</v>
      </c>
      <c r="P235" s="23" t="n">
        <v>0.1941</v>
      </c>
      <c r="Q235" s="23" t="n">
        <v>0.1519</v>
      </c>
      <c r="R235" s="24" t="n">
        <v>74</v>
      </c>
    </row>
    <row r="236">
      <c r="A236" s="25" t="inlineStr">
        <is>
          <t>ME</t>
        </is>
      </c>
      <c r="B236" s="25" t="n">
        <v>2014</v>
      </c>
      <c r="C236" s="26" t="n">
        <v>314040</v>
      </c>
      <c r="D236" s="27" t="n">
        <v>1.74339066</v>
      </c>
      <c r="E236" s="28" t="n">
        <v>7872.33</v>
      </c>
      <c r="F236" s="29" t="n">
        <v>0.2738</v>
      </c>
      <c r="G236" s="29" t="n">
        <v>0.2325</v>
      </c>
      <c r="H236" s="29" t="n">
        <v>0.0906</v>
      </c>
      <c r="I236" s="29" t="n">
        <v>0.0895</v>
      </c>
      <c r="J236" s="29" t="n">
        <v>0.0264</v>
      </c>
      <c r="K236" s="29" t="n">
        <v>0.0453</v>
      </c>
      <c r="L236" s="29" t="n">
        <v>0.045</v>
      </c>
      <c r="M236" s="29" t="n">
        <v>0.0297</v>
      </c>
      <c r="N236" s="26" t="n">
        <v>246.6111</v>
      </c>
      <c r="O236" s="26" t="n">
        <v>795.3878</v>
      </c>
      <c r="P236" s="29" t="n">
        <v>0.1684</v>
      </c>
      <c r="Q236" s="29" t="n">
        <v>0.3808</v>
      </c>
      <c r="R236" s="30" t="n">
        <v>70</v>
      </c>
    </row>
    <row r="237">
      <c r="A237" t="inlineStr">
        <is>
          <t>ME</t>
        </is>
      </c>
      <c r="B237" t="n">
        <v>2015</v>
      </c>
      <c r="C237" s="21" t="n">
        <v>321446</v>
      </c>
      <c r="D237" s="22" t="n">
        <v>1.795563725</v>
      </c>
      <c r="E237" s="15" t="n">
        <v>8214.41</v>
      </c>
      <c r="F237" s="23" t="n">
        <v>0.2689</v>
      </c>
      <c r="G237" s="23" t="n">
        <v>0.24</v>
      </c>
      <c r="H237" s="23" t="n">
        <v>0.0878</v>
      </c>
      <c r="I237" s="23" t="n">
        <v>0.0853</v>
      </c>
      <c r="J237" s="23" t="n">
        <v>0.027</v>
      </c>
      <c r="K237" s="23" t="n">
        <v>0.0466</v>
      </c>
      <c r="L237" s="23" t="n">
        <v>0.0436</v>
      </c>
      <c r="M237" s="23" t="n">
        <v>0.0315</v>
      </c>
      <c r="N237" s="21" t="n">
        <v>244.6074</v>
      </c>
      <c r="O237" s="21" t="n">
        <v>807.2392</v>
      </c>
      <c r="P237" s="23" t="n">
        <v>0.167</v>
      </c>
      <c r="Q237" s="23" t="n">
        <v>0.3687</v>
      </c>
      <c r="R237" s="24" t="n">
        <v>70</v>
      </c>
    </row>
    <row r="238">
      <c r="A238" s="25" t="inlineStr">
        <is>
          <t>ME</t>
        </is>
      </c>
      <c r="B238" s="25" t="n">
        <v>2016</v>
      </c>
      <c r="C238" s="26" t="n">
        <v>328711</v>
      </c>
      <c r="D238" s="27" t="n">
        <v>1.812219878</v>
      </c>
      <c r="E238" s="28" t="n">
        <v>8390.1</v>
      </c>
      <c r="F238" s="29" t="n">
        <v>0.2705</v>
      </c>
      <c r="G238" s="29" t="n">
        <v>0.2524</v>
      </c>
      <c r="H238" s="29" t="n">
        <v>0.0838</v>
      </c>
      <c r="I238" s="29" t="n">
        <v>0.0801</v>
      </c>
      <c r="J238" s="29" t="n">
        <v>0.0203</v>
      </c>
      <c r="K238" s="29" t="n">
        <v>0.0471</v>
      </c>
      <c r="L238" s="29" t="n">
        <v>0.0423</v>
      </c>
      <c r="M238" s="29" t="n">
        <v>0.0347</v>
      </c>
      <c r="N238" s="26" t="n">
        <v>239.4454</v>
      </c>
      <c r="O238" s="26" t="n">
        <v>799.6481</v>
      </c>
      <c r="P238" s="29" t="n">
        <v>0.1661</v>
      </c>
      <c r="Q238" s="29" t="n">
        <v>0.3563</v>
      </c>
      <c r="R238" s="30" t="n">
        <v>70</v>
      </c>
    </row>
    <row r="239">
      <c r="A239" t="inlineStr">
        <is>
          <t>ME</t>
        </is>
      </c>
      <c r="B239" t="n">
        <v>2017</v>
      </c>
      <c r="C239" s="21" t="n">
        <v>336446</v>
      </c>
      <c r="D239" s="22" t="n">
        <v>1.810352364</v>
      </c>
      <c r="E239" s="15" t="n">
        <v>8610.68</v>
      </c>
      <c r="F239" s="23" t="n">
        <v>0.2707</v>
      </c>
      <c r="G239" s="23" t="n">
        <v>0.2598</v>
      </c>
      <c r="H239" s="23" t="n">
        <v>0.0795</v>
      </c>
      <c r="I239" s="23" t="n">
        <v>0.0757</v>
      </c>
      <c r="J239" s="23" t="n">
        <v>0.018</v>
      </c>
      <c r="K239" s="23" t="n">
        <v>0.0475</v>
      </c>
      <c r="L239" s="23" t="n">
        <v>0.0407</v>
      </c>
      <c r="M239" s="23" t="n">
        <v>0.0367</v>
      </c>
      <c r="N239" s="21" t="n">
        <v>239.5634</v>
      </c>
      <c r="O239" s="21" t="n">
        <v>800.3377</v>
      </c>
      <c r="P239" s="23" t="n">
        <v>0.1684</v>
      </c>
      <c r="Q239" s="23" t="n">
        <v>0.348</v>
      </c>
      <c r="R239" s="24" t="n">
        <v>70</v>
      </c>
    </row>
    <row r="240">
      <c r="A240" s="25" t="inlineStr">
        <is>
          <t>ME</t>
        </is>
      </c>
      <c r="B240" s="25" t="n">
        <v>2018</v>
      </c>
      <c r="C240" s="26" t="n">
        <v>346350</v>
      </c>
      <c r="D240" s="27" t="n">
        <v>1.803698075</v>
      </c>
      <c r="E240" s="28" t="n">
        <v>8845.08</v>
      </c>
      <c r="F240" s="29" t="n">
        <v>0.2589</v>
      </c>
      <c r="G240" s="29" t="n">
        <v>0.2736</v>
      </c>
      <c r="H240" s="29" t="n">
        <v>0.07770000000000001</v>
      </c>
      <c r="I240" s="29" t="n">
        <v>0.0698</v>
      </c>
      <c r="J240" s="29" t="n">
        <v>0.0189</v>
      </c>
      <c r="K240" s="29" t="n">
        <v>0.0468</v>
      </c>
      <c r="L240" s="29" t="n">
        <v>0.0395</v>
      </c>
      <c r="M240" s="29" t="n">
        <v>0.039</v>
      </c>
      <c r="N240" s="26" t="n">
        <v>228.6866</v>
      </c>
      <c r="O240" s="26" t="n">
        <v>774.496</v>
      </c>
      <c r="P240" s="29" t="n">
        <v>0.1644</v>
      </c>
      <c r="Q240" s="29" t="n">
        <v>0.3321</v>
      </c>
      <c r="R240" s="30" t="n">
        <v>71</v>
      </c>
    </row>
    <row r="241">
      <c r="A241" t="inlineStr">
        <is>
          <t>ME</t>
        </is>
      </c>
      <c r="B241" t="n">
        <v>2019</v>
      </c>
      <c r="C241" s="21" t="n">
        <v>354827</v>
      </c>
      <c r="D241" s="22" t="n">
        <v>1.736990683</v>
      </c>
      <c r="E241" s="15" t="n">
        <v>9038.540000000001</v>
      </c>
      <c r="F241" s="23" t="n">
        <v>0.2574</v>
      </c>
      <c r="G241" s="23" t="n">
        <v>0.2662</v>
      </c>
      <c r="H241" s="23" t="n">
        <v>0.07729999999999999</v>
      </c>
      <c r="I241" s="23" t="n">
        <v>0.0689</v>
      </c>
      <c r="J241" s="23" t="n">
        <v>0.0191</v>
      </c>
      <c r="K241" s="23" t="n">
        <v>0.0472</v>
      </c>
      <c r="L241" s="23" t="n">
        <v>0.0391</v>
      </c>
      <c r="M241" s="23" t="n">
        <v>0.0438</v>
      </c>
      <c r="N241" s="21" t="n">
        <v>223.9718</v>
      </c>
      <c r="O241" s="21" t="n">
        <v>757.8158</v>
      </c>
      <c r="P241" s="23" t="n">
        <v>0.1621</v>
      </c>
      <c r="Q241" s="23" t="n">
        <v>0.3093</v>
      </c>
      <c r="R241" s="24" t="n">
        <v>71</v>
      </c>
    </row>
    <row r="242">
      <c r="A242" s="25" t="inlineStr">
        <is>
          <t>ME</t>
        </is>
      </c>
      <c r="B242" s="25" t="n">
        <v>2020</v>
      </c>
      <c r="C242" s="26" t="n">
        <v>362843</v>
      </c>
      <c r="D242" s="27" t="n">
        <v>1.4527761</v>
      </c>
      <c r="E242" s="28" t="n">
        <v>8363.42</v>
      </c>
      <c r="F242" s="29" t="n">
        <v>0.2452</v>
      </c>
      <c r="G242" s="29" t="n">
        <v>0.2679</v>
      </c>
      <c r="H242" s="29" t="n">
        <v>0.0743</v>
      </c>
      <c r="I242" s="29" t="n">
        <v>0.0692</v>
      </c>
      <c r="J242" s="29" t="n">
        <v>0.022</v>
      </c>
      <c r="K242" s="29" t="n">
        <v>0.0478</v>
      </c>
      <c r="L242" s="29" t="n">
        <v>0.0349</v>
      </c>
      <c r="M242" s="29" t="n">
        <v>0.0506</v>
      </c>
      <c r="N242" s="26" t="n">
        <v>185.883</v>
      </c>
      <c r="O242" s="26" t="n">
        <v>608.9139</v>
      </c>
      <c r="P242" s="29" t="n">
        <v>0.1544</v>
      </c>
      <c r="Q242" s="29" t="n">
        <v>0.3155</v>
      </c>
      <c r="R242" s="30" t="n">
        <v>71</v>
      </c>
    </row>
    <row r="243">
      <c r="A243" t="inlineStr">
        <is>
          <t>ME</t>
        </is>
      </c>
      <c r="B243" t="n">
        <v>2021</v>
      </c>
      <c r="C243" s="21" t="n">
        <v>371875</v>
      </c>
      <c r="D243" s="22" t="n">
        <v>1.478974513</v>
      </c>
      <c r="E243" s="15" t="n">
        <v>9135.17</v>
      </c>
      <c r="F243" s="23" t="n">
        <v>0.2333</v>
      </c>
      <c r="G243" s="23" t="n">
        <v>0.2859</v>
      </c>
      <c r="H243" s="23" t="n">
        <v>0.0803</v>
      </c>
      <c r="I243" s="23" t="n">
        <v>0.0675</v>
      </c>
      <c r="J243" s="23" t="n">
        <v>0.0214</v>
      </c>
      <c r="K243" s="23" t="n">
        <v>0.0435</v>
      </c>
      <c r="L243" s="23" t="n">
        <v>0.0346</v>
      </c>
      <c r="M243" s="23" t="n">
        <v>0.0488</v>
      </c>
      <c r="N243" s="21" t="n">
        <v>174.4792</v>
      </c>
      <c r="O243" s="21" t="n">
        <v>634.414</v>
      </c>
      <c r="P243" s="23" t="n">
        <v>0.1536</v>
      </c>
      <c r="Q243" s="23" t="n">
        <v>0.2938</v>
      </c>
      <c r="R243" s="24" t="n">
        <v>71</v>
      </c>
    </row>
    <row r="244">
      <c r="A244" s="25" t="inlineStr">
        <is>
          <t>ME</t>
        </is>
      </c>
      <c r="B244" s="25" t="n">
        <v>2022</v>
      </c>
      <c r="C244" s="26" t="n">
        <v>379853</v>
      </c>
      <c r="D244" s="27" t="n">
        <v>1.413941403</v>
      </c>
      <c r="E244" s="28" t="n">
        <v>9447.5</v>
      </c>
      <c r="F244" s="29" t="n">
        <v>0.2304</v>
      </c>
      <c r="G244" s="29" t="n">
        <v>0.2932</v>
      </c>
      <c r="H244" s="29" t="n">
        <v>0.0759</v>
      </c>
      <c r="I244" s="29" t="n">
        <v>0.0711</v>
      </c>
      <c r="J244" s="29" t="n">
        <v>0.0223</v>
      </c>
      <c r="K244" s="29" t="n">
        <v>0.0395</v>
      </c>
      <c r="L244" s="29" t="n">
        <v>0.0336</v>
      </c>
      <c r="M244" s="29" t="n">
        <v>0.0474</v>
      </c>
      <c r="N244" s="26" t="n">
        <v>170.9374</v>
      </c>
      <c r="O244" s="26" t="n">
        <v>660.9449</v>
      </c>
      <c r="P244" s="29" t="n">
        <v>0.1492</v>
      </c>
      <c r="Q244" s="29" t="n">
        <v>0.28</v>
      </c>
      <c r="R244" s="30" t="n">
        <v>72</v>
      </c>
    </row>
    <row r="245">
      <c r="A245" t="inlineStr">
        <is>
          <t>ME</t>
        </is>
      </c>
      <c r="B245" t="n">
        <v>2023</v>
      </c>
      <c r="C245" s="21" t="n">
        <v>387113</v>
      </c>
      <c r="D245" s="22" t="n">
        <v>1.37752199</v>
      </c>
      <c r="E245" s="15" t="n">
        <v>9841.200000000001</v>
      </c>
      <c r="F245" s="23" t="n">
        <v>0.2271</v>
      </c>
      <c r="G245" s="23" t="n">
        <v>0.2891</v>
      </c>
      <c r="H245" s="23" t="n">
        <v>0.0751</v>
      </c>
      <c r="I245" s="23" t="n">
        <v>0.0653</v>
      </c>
      <c r="J245" s="23" t="n">
        <v>0.0282</v>
      </c>
      <c r="K245" s="23" t="n">
        <v>0.037</v>
      </c>
      <c r="L245" s="23" t="n">
        <v>0.0332</v>
      </c>
      <c r="M245" s="23" t="n">
        <v>0.0503</v>
      </c>
      <c r="N245" s="21" t="n">
        <v>177.8175</v>
      </c>
      <c r="O245" s="21" t="n">
        <v>677.5853</v>
      </c>
      <c r="P245" s="23" t="n">
        <v>0.1546</v>
      </c>
      <c r="Q245" s="23" t="n">
        <v>0.2657</v>
      </c>
      <c r="R245" s="24" t="n">
        <v>72</v>
      </c>
    </row>
    <row r="246">
      <c r="A246" s="25" t="inlineStr">
        <is>
          <t>ME</t>
        </is>
      </c>
      <c r="B246" s="25" t="n">
        <v>2024</v>
      </c>
      <c r="C246" s="26" t="n">
        <v>394744</v>
      </c>
      <c r="D246" s="27" t="n">
        <v>1.418105339</v>
      </c>
      <c r="E246" s="28" t="n">
        <v>10530.38</v>
      </c>
      <c r="F246" s="29" t="n">
        <v>0.227</v>
      </c>
      <c r="G246" s="29" t="n">
        <v>0.2947</v>
      </c>
      <c r="H246" s="29" t="n">
        <v>0.073</v>
      </c>
      <c r="I246" s="29" t="n">
        <v>0.062</v>
      </c>
      <c r="J246" s="29" t="n">
        <v>0.0274</v>
      </c>
      <c r="K246" s="29" t="n">
        <v>0.0355</v>
      </c>
      <c r="L246" s="29" t="n">
        <v>0.0321</v>
      </c>
      <c r="M246" s="29" t="n">
        <v>0.0504</v>
      </c>
      <c r="N246" s="26" t="n">
        <v>187.3199</v>
      </c>
      <c r="O246" s="26" t="n">
        <v>683.9635</v>
      </c>
      <c r="P246" s="29" t="n">
        <v>0.1595</v>
      </c>
      <c r="Q246" s="29" t="n">
        <v>0.26</v>
      </c>
      <c r="R246" s="30" t="n">
        <v>72</v>
      </c>
    </row>
    <row r="247">
      <c r="A247" t="inlineStr">
        <is>
          <t>MI</t>
        </is>
      </c>
      <c r="B247" t="n">
        <v>2014</v>
      </c>
      <c r="C247" s="21" t="n">
        <v>1948340</v>
      </c>
      <c r="D247" s="22" t="n">
        <v>11.874600569</v>
      </c>
      <c r="E247" s="15" t="n">
        <v>9767.459999999999</v>
      </c>
      <c r="F247" s="23" t="n">
        <v>0.306</v>
      </c>
      <c r="G247" s="23" t="n">
        <v>0.1508</v>
      </c>
      <c r="H247" s="23" t="n">
        <v>0.108</v>
      </c>
      <c r="I247" s="23" t="n">
        <v>0.08699999999999999</v>
      </c>
      <c r="J247" s="23" t="n">
        <v>0.0239</v>
      </c>
      <c r="K247" s="23" t="n">
        <v>0.0595</v>
      </c>
      <c r="L247" s="23" t="n">
        <v>0.0496</v>
      </c>
      <c r="M247" s="23" t="n">
        <v>0.0323</v>
      </c>
      <c r="N247" s="21" t="n">
        <v>327.9739</v>
      </c>
      <c r="O247" s="21" t="n">
        <v>778.0636</v>
      </c>
      <c r="P247" s="23" t="n">
        <v>0.1953</v>
      </c>
      <c r="Q247" s="23" t="n">
        <v>0.2221</v>
      </c>
      <c r="R247" s="24" t="n">
        <v>70</v>
      </c>
    </row>
    <row r="248">
      <c r="A248" s="25" t="inlineStr">
        <is>
          <t>MI</t>
        </is>
      </c>
      <c r="B248" s="25" t="n">
        <v>2015</v>
      </c>
      <c r="C248" s="26" t="n">
        <v>1991003</v>
      </c>
      <c r="D248" s="27" t="n">
        <v>11.708318723</v>
      </c>
      <c r="E248" s="28" t="n">
        <v>10011.31</v>
      </c>
      <c r="F248" s="29" t="n">
        <v>0.3014</v>
      </c>
      <c r="G248" s="29" t="n">
        <v>0.1572</v>
      </c>
      <c r="H248" s="29" t="n">
        <v>0.1062</v>
      </c>
      <c r="I248" s="29" t="n">
        <v>0.0858</v>
      </c>
      <c r="J248" s="29" t="n">
        <v>0.0248</v>
      </c>
      <c r="K248" s="29" t="n">
        <v>0.0597</v>
      </c>
      <c r="L248" s="29" t="n">
        <v>0.0488</v>
      </c>
      <c r="M248" s="29" t="n">
        <v>0.0327</v>
      </c>
      <c r="N248" s="26" t="n">
        <v>324.7517</v>
      </c>
      <c r="O248" s="26" t="n">
        <v>773.6589</v>
      </c>
      <c r="P248" s="29" t="n">
        <v>0.1905</v>
      </c>
      <c r="Q248" s="29" t="n">
        <v>0.2031</v>
      </c>
      <c r="R248" s="30" t="n">
        <v>71</v>
      </c>
    </row>
    <row r="249">
      <c r="A249" t="inlineStr">
        <is>
          <t>MI</t>
        </is>
      </c>
      <c r="B249" t="n">
        <v>2016</v>
      </c>
      <c r="C249" s="21" t="n">
        <v>2033388</v>
      </c>
      <c r="D249" s="22" t="n">
        <v>11.723112489</v>
      </c>
      <c r="E249" s="15" t="n">
        <v>9996.65</v>
      </c>
      <c r="F249" s="23" t="n">
        <v>0.3048</v>
      </c>
      <c r="G249" s="23" t="n">
        <v>0.1646</v>
      </c>
      <c r="H249" s="23" t="n">
        <v>0.1044</v>
      </c>
      <c r="I249" s="23" t="n">
        <v>0.0813</v>
      </c>
      <c r="J249" s="23" t="n">
        <v>0.0206</v>
      </c>
      <c r="K249" s="23" t="n">
        <v>0.0577</v>
      </c>
      <c r="L249" s="23" t="n">
        <v>0.0496</v>
      </c>
      <c r="M249" s="23" t="n">
        <v>0.0337</v>
      </c>
      <c r="N249" s="21" t="n">
        <v>317.2855</v>
      </c>
      <c r="O249" s="21" t="n">
        <v>770.9763</v>
      </c>
      <c r="P249" s="23" t="n">
        <v>0.1875</v>
      </c>
      <c r="Q249" s="23" t="n">
        <v>0.2063</v>
      </c>
      <c r="R249" s="24" t="n">
        <v>71</v>
      </c>
    </row>
    <row r="250">
      <c r="A250" s="25" t="inlineStr">
        <is>
          <t>MI</t>
        </is>
      </c>
      <c r="B250" s="25" t="n">
        <v>2017</v>
      </c>
      <c r="C250" s="26" t="n">
        <v>2072824</v>
      </c>
      <c r="D250" s="27" t="n">
        <v>11.70606305</v>
      </c>
      <c r="E250" s="28" t="n">
        <v>10102.89</v>
      </c>
      <c r="F250" s="29" t="n">
        <v>0.3057</v>
      </c>
      <c r="G250" s="29" t="n">
        <v>0.1722</v>
      </c>
      <c r="H250" s="29" t="n">
        <v>0.1022</v>
      </c>
      <c r="I250" s="29" t="n">
        <v>0.077</v>
      </c>
      <c r="J250" s="29" t="n">
        <v>0.0192</v>
      </c>
      <c r="K250" s="29" t="n">
        <v>0.0546</v>
      </c>
      <c r="L250" s="29" t="n">
        <v>0.0484</v>
      </c>
      <c r="M250" s="29" t="n">
        <v>0.0348</v>
      </c>
      <c r="N250" s="26" t="n">
        <v>314.3313</v>
      </c>
      <c r="O250" s="26" t="n">
        <v>772.8252</v>
      </c>
      <c r="P250" s="29" t="n">
        <v>0.1885</v>
      </c>
      <c r="Q250" s="29" t="n">
        <v>0.2111</v>
      </c>
      <c r="R250" s="30" t="n">
        <v>71</v>
      </c>
    </row>
    <row r="251">
      <c r="A251" t="inlineStr">
        <is>
          <t>MI</t>
        </is>
      </c>
      <c r="B251" t="n">
        <v>2018</v>
      </c>
      <c r="C251" s="21" t="n">
        <v>2122021</v>
      </c>
      <c r="D251" s="22" t="n">
        <v>11.414650347</v>
      </c>
      <c r="E251" s="15" t="n">
        <v>10305.15</v>
      </c>
      <c r="F251" s="23" t="n">
        <v>0.2947</v>
      </c>
      <c r="G251" s="23" t="n">
        <v>0.1861</v>
      </c>
      <c r="H251" s="23" t="n">
        <v>0.1009</v>
      </c>
      <c r="I251" s="23" t="n">
        <v>0.0712</v>
      </c>
      <c r="J251" s="23" t="n">
        <v>0.0212</v>
      </c>
      <c r="K251" s="23" t="n">
        <v>0.0501</v>
      </c>
      <c r="L251" s="23" t="n">
        <v>0.0485</v>
      </c>
      <c r="M251" s="23" t="n">
        <v>0.0347</v>
      </c>
      <c r="N251" s="21" t="n">
        <v>298.5641</v>
      </c>
      <c r="O251" s="21" t="n">
        <v>754.2118</v>
      </c>
      <c r="P251" s="23" t="n">
        <v>0.189</v>
      </c>
      <c r="Q251" s="23" t="n">
        <v>0.2207</v>
      </c>
      <c r="R251" s="24" t="n">
        <v>71</v>
      </c>
    </row>
    <row r="252">
      <c r="A252" s="25" t="inlineStr">
        <is>
          <t>MI</t>
        </is>
      </c>
      <c r="B252" s="25" t="n">
        <v>2019</v>
      </c>
      <c r="C252" s="26" t="n">
        <v>2162655</v>
      </c>
      <c r="D252" s="27" t="n">
        <v>11.373328828</v>
      </c>
      <c r="E252" s="28" t="n">
        <v>10535.04</v>
      </c>
      <c r="F252" s="29" t="n">
        <v>0.2923</v>
      </c>
      <c r="G252" s="29" t="n">
        <v>0.1882</v>
      </c>
      <c r="H252" s="29" t="n">
        <v>0.09950000000000001</v>
      </c>
      <c r="I252" s="29" t="n">
        <v>0.068</v>
      </c>
      <c r="J252" s="29" t="n">
        <v>0.021</v>
      </c>
      <c r="K252" s="29" t="n">
        <v>0.0478</v>
      </c>
      <c r="L252" s="29" t="n">
        <v>0.0497</v>
      </c>
      <c r="M252" s="29" t="n">
        <v>0.0367</v>
      </c>
      <c r="N252" s="26" t="n">
        <v>292.8182</v>
      </c>
      <c r="O252" s="26" t="n">
        <v>737.2994</v>
      </c>
      <c r="P252" s="29" t="n">
        <v>0.191</v>
      </c>
      <c r="Q252" s="29" t="n">
        <v>0.2119</v>
      </c>
      <c r="R252" s="30" t="n">
        <v>71</v>
      </c>
    </row>
    <row r="253">
      <c r="A253" t="inlineStr">
        <is>
          <t>MI</t>
        </is>
      </c>
      <c r="B253" t="n">
        <v>2020</v>
      </c>
      <c r="C253" s="21" t="n">
        <v>2202632</v>
      </c>
      <c r="D253" s="22" t="n">
        <v>9.657346545999999</v>
      </c>
      <c r="E253" s="15" t="n">
        <v>9858.370000000001</v>
      </c>
      <c r="F253" s="23" t="n">
        <v>0.2919</v>
      </c>
      <c r="G253" s="23" t="n">
        <v>0.1846</v>
      </c>
      <c r="H253" s="23" t="n">
        <v>0.0954</v>
      </c>
      <c r="I253" s="23" t="n">
        <v>0.0706</v>
      </c>
      <c r="J253" s="23" t="n">
        <v>0.0245</v>
      </c>
      <c r="K253" s="23" t="n">
        <v>0.0446</v>
      </c>
      <c r="L253" s="23" t="n">
        <v>0.0445</v>
      </c>
      <c r="M253" s="23" t="n">
        <v>0.0403</v>
      </c>
      <c r="N253" s="21" t="n">
        <v>250.0181</v>
      </c>
      <c r="O253" s="21" t="n">
        <v>598.7358</v>
      </c>
      <c r="P253" s="23" t="n">
        <v>0.1947</v>
      </c>
      <c r="Q253" s="23" t="n">
        <v>0.2073</v>
      </c>
      <c r="R253" s="24" t="n">
        <v>71</v>
      </c>
    </row>
    <row r="254">
      <c r="A254" s="25" t="inlineStr">
        <is>
          <t>MI</t>
        </is>
      </c>
      <c r="B254" s="25" t="n">
        <v>2021</v>
      </c>
      <c r="C254" s="26" t="n">
        <v>2231630</v>
      </c>
      <c r="D254" s="27" t="n">
        <v>9.710027134000001</v>
      </c>
      <c r="E254" s="28" t="n">
        <v>10731.53</v>
      </c>
      <c r="F254" s="29" t="n">
        <v>0.2789</v>
      </c>
      <c r="G254" s="29" t="n">
        <v>0.2014</v>
      </c>
      <c r="H254" s="29" t="n">
        <v>0.1026</v>
      </c>
      <c r="I254" s="29" t="n">
        <v>0.0616</v>
      </c>
      <c r="J254" s="29" t="n">
        <v>0.024</v>
      </c>
      <c r="K254" s="29" t="n">
        <v>0.0436</v>
      </c>
      <c r="L254" s="29" t="n">
        <v>0.0449</v>
      </c>
      <c r="M254" s="29" t="n">
        <v>0.0386</v>
      </c>
      <c r="N254" s="26" t="n">
        <v>248.3662</v>
      </c>
      <c r="O254" s="26" t="n">
        <v>630.5214</v>
      </c>
      <c r="P254" s="29" t="n">
        <v>0.1925</v>
      </c>
      <c r="Q254" s="29" t="n">
        <v>0.1999</v>
      </c>
      <c r="R254" s="30" t="n">
        <v>71</v>
      </c>
    </row>
    <row r="255">
      <c r="A255" t="inlineStr">
        <is>
          <t>MI</t>
        </is>
      </c>
      <c r="B255" t="n">
        <v>2022</v>
      </c>
      <c r="C255" s="21" t="n">
        <v>2265749</v>
      </c>
      <c r="D255" s="22" t="n">
        <v>9.079893238</v>
      </c>
      <c r="E255" s="15" t="n">
        <v>10907.74</v>
      </c>
      <c r="F255" s="23" t="n">
        <v>0.2678</v>
      </c>
      <c r="G255" s="23" t="n">
        <v>0.2072</v>
      </c>
      <c r="H255" s="23" t="n">
        <v>0.1005</v>
      </c>
      <c r="I255" s="23" t="n">
        <v>0.065</v>
      </c>
      <c r="J255" s="23" t="n">
        <v>0.0281</v>
      </c>
      <c r="K255" s="23" t="n">
        <v>0.0424</v>
      </c>
      <c r="L255" s="23" t="n">
        <v>0.0437</v>
      </c>
      <c r="M255" s="23" t="n">
        <v>0.0408</v>
      </c>
      <c r="N255" s="21" t="n">
        <v>239.2907</v>
      </c>
      <c r="O255" s="21" t="n">
        <v>629.2744</v>
      </c>
      <c r="P255" s="23" t="n">
        <v>0.1899</v>
      </c>
      <c r="Q255" s="23" t="n">
        <v>0.1979</v>
      </c>
      <c r="R255" s="24" t="n">
        <v>72</v>
      </c>
    </row>
    <row r="256">
      <c r="A256" s="25" t="inlineStr">
        <is>
          <t>MI</t>
        </is>
      </c>
      <c r="B256" s="25" t="n">
        <v>2023</v>
      </c>
      <c r="C256" s="26" t="n">
        <v>2305486</v>
      </c>
      <c r="D256" s="27" t="n">
        <v>9.110362862000001</v>
      </c>
      <c r="E256" s="28" t="n">
        <v>11779.79</v>
      </c>
      <c r="F256" s="29" t="n">
        <v>0.2544</v>
      </c>
      <c r="G256" s="29" t="n">
        <v>0.2079</v>
      </c>
      <c r="H256" s="29" t="n">
        <v>0.0958</v>
      </c>
      <c r="I256" s="29" t="n">
        <v>0.0591</v>
      </c>
      <c r="J256" s="29" t="n">
        <v>0.0543</v>
      </c>
      <c r="K256" s="29" t="n">
        <v>0.0396</v>
      </c>
      <c r="L256" s="29" t="n">
        <v>0.0411</v>
      </c>
      <c r="M256" s="29" t="n">
        <v>0.0409</v>
      </c>
      <c r="N256" s="26" t="n">
        <v>243.7777</v>
      </c>
      <c r="O256" s="26" t="n">
        <v>639.6665</v>
      </c>
      <c r="P256" s="29" t="n">
        <v>0.188</v>
      </c>
      <c r="Q256" s="29" t="n">
        <v>0.1927</v>
      </c>
      <c r="R256" s="30" t="n">
        <v>72</v>
      </c>
    </row>
    <row r="257">
      <c r="A257" t="inlineStr">
        <is>
          <t>MI</t>
        </is>
      </c>
      <c r="B257" t="n">
        <v>2024</v>
      </c>
      <c r="C257" s="21" t="n">
        <v>2351516</v>
      </c>
      <c r="D257" s="22" t="n">
        <v>8.758347687000001</v>
      </c>
      <c r="E257" s="15" t="n">
        <v>12079.35</v>
      </c>
      <c r="F257" s="23" t="n">
        <v>0.2518</v>
      </c>
      <c r="G257" s="23" t="n">
        <v>0.2128</v>
      </c>
      <c r="H257" s="23" t="n">
        <v>0.0949</v>
      </c>
      <c r="I257" s="23" t="n">
        <v>0.059</v>
      </c>
      <c r="J257" s="23" t="n">
        <v>0.0542</v>
      </c>
      <c r="K257" s="23" t="n">
        <v>0.039</v>
      </c>
      <c r="L257" s="23" t="n">
        <v>0.0397</v>
      </c>
      <c r="M257" s="23" t="n">
        <v>0.0435</v>
      </c>
      <c r="N257" s="21" t="n">
        <v>244.4667</v>
      </c>
      <c r="O257" s="21" t="n">
        <v>638.3884</v>
      </c>
      <c r="P257" s="23" t="n">
        <v>0.1899</v>
      </c>
      <c r="Q257" s="23" t="n">
        <v>0.1722</v>
      </c>
      <c r="R257" s="24" t="n">
        <v>72</v>
      </c>
    </row>
    <row r="258">
      <c r="A258" s="25" t="inlineStr">
        <is>
          <t>MN</t>
        </is>
      </c>
      <c r="B258" s="25" t="n">
        <v>2014</v>
      </c>
      <c r="C258" s="26" t="n">
        <v>933686</v>
      </c>
      <c r="D258" s="27" t="n">
        <v>2.935387582</v>
      </c>
      <c r="E258" s="28" t="n">
        <v>7943.79</v>
      </c>
      <c r="F258" s="29" t="n">
        <v>0.3172</v>
      </c>
      <c r="G258" s="29" t="n">
        <v>0.1982</v>
      </c>
      <c r="H258" s="29" t="n">
        <v>0.0917</v>
      </c>
      <c r="I258" s="29" t="n">
        <v>0.0921</v>
      </c>
      <c r="J258" s="29" t="n">
        <v>0.0272</v>
      </c>
      <c r="K258" s="29" t="n">
        <v>0.0287</v>
      </c>
      <c r="L258" s="29" t="n">
        <v>0.0459</v>
      </c>
      <c r="M258" s="29" t="n">
        <v>0.0323</v>
      </c>
      <c r="N258" s="26" t="n">
        <v>268.5565</v>
      </c>
      <c r="O258" s="26" t="n">
        <v>694.8013999999999</v>
      </c>
      <c r="P258" s="29" t="n">
        <v>0.1731</v>
      </c>
      <c r="Q258" s="29" t="n">
        <v>0.2461</v>
      </c>
      <c r="R258" s="30" t="n">
        <v>70</v>
      </c>
    </row>
    <row r="259">
      <c r="A259" t="inlineStr">
        <is>
          <t>MN</t>
        </is>
      </c>
      <c r="B259" t="n">
        <v>2015</v>
      </c>
      <c r="C259" s="21" t="n">
        <v>959696</v>
      </c>
      <c r="D259" s="22" t="n">
        <v>3.012988322</v>
      </c>
      <c r="E259" s="15" t="n">
        <v>8322.99</v>
      </c>
      <c r="F259" s="23" t="n">
        <v>0.3125</v>
      </c>
      <c r="G259" s="23" t="n">
        <v>0.2052</v>
      </c>
      <c r="H259" s="23" t="n">
        <v>0.0905</v>
      </c>
      <c r="I259" s="23" t="n">
        <v>0.0883</v>
      </c>
      <c r="J259" s="23" t="n">
        <v>0.0279</v>
      </c>
      <c r="K259" s="23" t="n">
        <v>0.0306</v>
      </c>
      <c r="L259" s="23" t="n">
        <v>0.0443</v>
      </c>
      <c r="M259" s="23" t="n">
        <v>0.0334</v>
      </c>
      <c r="N259" s="21" t="n">
        <v>265.6682</v>
      </c>
      <c r="O259" s="21" t="n">
        <v>715.0035</v>
      </c>
      <c r="P259" s="23" t="n">
        <v>0.1741</v>
      </c>
      <c r="Q259" s="23" t="n">
        <v>0.2549</v>
      </c>
      <c r="R259" s="24" t="n">
        <v>70</v>
      </c>
    </row>
    <row r="260">
      <c r="A260" s="25" t="inlineStr">
        <is>
          <t>MN</t>
        </is>
      </c>
      <c r="B260" s="25" t="n">
        <v>2016</v>
      </c>
      <c r="C260" s="26" t="n">
        <v>986969</v>
      </c>
      <c r="D260" s="27" t="n">
        <v>2.984828495</v>
      </c>
      <c r="E260" s="28" t="n">
        <v>8451.51</v>
      </c>
      <c r="F260" s="29" t="n">
        <v>0.3155</v>
      </c>
      <c r="G260" s="29" t="n">
        <v>0.2104</v>
      </c>
      <c r="H260" s="29" t="n">
        <v>0.0872</v>
      </c>
      <c r="I260" s="29" t="n">
        <v>0.08500000000000001</v>
      </c>
      <c r="J260" s="29" t="n">
        <v>0.0238</v>
      </c>
      <c r="K260" s="29" t="n">
        <v>0.0302</v>
      </c>
      <c r="L260" s="29" t="n">
        <v>0.0438</v>
      </c>
      <c r="M260" s="29" t="n">
        <v>0.0357</v>
      </c>
      <c r="N260" s="26" t="n">
        <v>262.6178</v>
      </c>
      <c r="O260" s="26" t="n">
        <v>727.9618</v>
      </c>
      <c r="P260" s="29" t="n">
        <v>0.1753</v>
      </c>
      <c r="Q260" s="29" t="n">
        <v>0.2585</v>
      </c>
      <c r="R260" s="30" t="n">
        <v>70</v>
      </c>
    </row>
    <row r="261">
      <c r="A261" t="inlineStr">
        <is>
          <t>MN</t>
        </is>
      </c>
      <c r="B261" t="n">
        <v>2017</v>
      </c>
      <c r="C261" s="21" t="n">
        <v>1012838</v>
      </c>
      <c r="D261" s="22" t="n">
        <v>2.989265524</v>
      </c>
      <c r="E261" s="15" t="n">
        <v>8719.049999999999</v>
      </c>
      <c r="F261" s="23" t="n">
        <v>0.316</v>
      </c>
      <c r="G261" s="23" t="n">
        <v>0.2166</v>
      </c>
      <c r="H261" s="23" t="n">
        <v>0.0867</v>
      </c>
      <c r="I261" s="23" t="n">
        <v>0.0833</v>
      </c>
      <c r="J261" s="23" t="n">
        <v>0.0217</v>
      </c>
      <c r="K261" s="23" t="n">
        <v>0.0299</v>
      </c>
      <c r="L261" s="23" t="n">
        <v>0.0427</v>
      </c>
      <c r="M261" s="23" t="n">
        <v>0.0353</v>
      </c>
      <c r="N261" s="21" t="n">
        <v>268.8023</v>
      </c>
      <c r="O261" s="21" t="n">
        <v>730.7981</v>
      </c>
      <c r="P261" s="23" t="n">
        <v>0.1754</v>
      </c>
      <c r="Q261" s="23" t="n">
        <v>0.2591</v>
      </c>
      <c r="R261" s="24" t="n">
        <v>70</v>
      </c>
    </row>
    <row r="262">
      <c r="A262" s="25" t="inlineStr">
        <is>
          <t>MN</t>
        </is>
      </c>
      <c r="B262" s="25" t="n">
        <v>2018</v>
      </c>
      <c r="C262" s="26" t="n">
        <v>1044080</v>
      </c>
      <c r="D262" s="27" t="n">
        <v>3.160561912</v>
      </c>
      <c r="E262" s="28" t="n">
        <v>9107.75</v>
      </c>
      <c r="F262" s="29" t="n">
        <v>0.3101</v>
      </c>
      <c r="G262" s="29" t="n">
        <v>0.2255</v>
      </c>
      <c r="H262" s="29" t="n">
        <v>0.0848</v>
      </c>
      <c r="I262" s="29" t="n">
        <v>0.0808</v>
      </c>
      <c r="J262" s="29" t="n">
        <v>0.0225</v>
      </c>
      <c r="K262" s="29" t="n">
        <v>0.0292</v>
      </c>
      <c r="L262" s="29" t="n">
        <v>0.0413</v>
      </c>
      <c r="M262" s="29" t="n">
        <v>0.0361</v>
      </c>
      <c r="N262" s="26" t="n">
        <v>267.8182</v>
      </c>
      <c r="O262" s="26" t="n">
        <v>724.6404</v>
      </c>
      <c r="P262" s="29" t="n">
        <v>0.1795</v>
      </c>
      <c r="Q262" s="29" t="n">
        <v>0.2528</v>
      </c>
      <c r="R262" s="30" t="n">
        <v>70</v>
      </c>
    </row>
    <row r="263">
      <c r="A263" t="inlineStr">
        <is>
          <t>MN</t>
        </is>
      </c>
      <c r="B263" t="n">
        <v>2019</v>
      </c>
      <c r="C263" s="21" t="n">
        <v>1070360</v>
      </c>
      <c r="D263" s="22" t="n">
        <v>4.655452497</v>
      </c>
      <c r="E263" s="15" t="n">
        <v>9674.67</v>
      </c>
      <c r="F263" s="23" t="n">
        <v>0.2927</v>
      </c>
      <c r="G263" s="23" t="n">
        <v>0.2354</v>
      </c>
      <c r="H263" s="23" t="n">
        <v>0.0842</v>
      </c>
      <c r="I263" s="23" t="n">
        <v>0.0755</v>
      </c>
      <c r="J263" s="23" t="n">
        <v>0.0221</v>
      </c>
      <c r="K263" s="23" t="n">
        <v>0.0286</v>
      </c>
      <c r="L263" s="23" t="n">
        <v>0.0449</v>
      </c>
      <c r="M263" s="23" t="n">
        <v>0.0342</v>
      </c>
      <c r="N263" s="21" t="n">
        <v>255.6421</v>
      </c>
      <c r="O263" s="21" t="n">
        <v>674.0254</v>
      </c>
      <c r="P263" s="23" t="n">
        <v>0.1716</v>
      </c>
      <c r="Q263" s="23" t="n">
        <v>0.1799</v>
      </c>
      <c r="R263" s="24" t="n">
        <v>71</v>
      </c>
    </row>
    <row r="264">
      <c r="A264" s="25" t="inlineStr">
        <is>
          <t>MN</t>
        </is>
      </c>
      <c r="B264" s="25" t="n">
        <v>2020</v>
      </c>
      <c r="C264" s="26" t="n">
        <v>1096014</v>
      </c>
      <c r="D264" s="27" t="n">
        <v>4.277242189</v>
      </c>
      <c r="E264" s="28" t="n">
        <v>9169.190000000001</v>
      </c>
      <c r="F264" s="29" t="n">
        <v>0.2812</v>
      </c>
      <c r="G264" s="29" t="n">
        <v>0.2372</v>
      </c>
      <c r="H264" s="29" t="n">
        <v>0.0781</v>
      </c>
      <c r="I264" s="29" t="n">
        <v>0.0814</v>
      </c>
      <c r="J264" s="29" t="n">
        <v>0.0256</v>
      </c>
      <c r="K264" s="29" t="n">
        <v>0.0301</v>
      </c>
      <c r="L264" s="29" t="n">
        <v>0.0402</v>
      </c>
      <c r="M264" s="29" t="n">
        <v>0.0393</v>
      </c>
      <c r="N264" s="26" t="n">
        <v>216.4659</v>
      </c>
      <c r="O264" s="26" t="n">
        <v>570.8433</v>
      </c>
      <c r="P264" s="29" t="n">
        <v>0.1727</v>
      </c>
      <c r="Q264" s="29" t="n">
        <v>0.1718</v>
      </c>
      <c r="R264" s="30" t="n">
        <v>71</v>
      </c>
    </row>
    <row r="265">
      <c r="A265" t="inlineStr">
        <is>
          <t>MN</t>
        </is>
      </c>
      <c r="B265" t="n">
        <v>2021</v>
      </c>
      <c r="C265" s="21" t="n">
        <v>1117981</v>
      </c>
      <c r="D265" s="22" t="n">
        <v>4.455546881</v>
      </c>
      <c r="E265" s="15" t="n">
        <v>10201.53</v>
      </c>
      <c r="F265" s="23" t="n">
        <v>0.2692</v>
      </c>
      <c r="G265" s="23" t="n">
        <v>0.2491</v>
      </c>
      <c r="H265" s="23" t="n">
        <v>0.0851</v>
      </c>
      <c r="I265" s="23" t="n">
        <v>0.0765</v>
      </c>
      <c r="J265" s="23" t="n">
        <v>0.0252</v>
      </c>
      <c r="K265" s="23" t="n">
        <v>0.029</v>
      </c>
      <c r="L265" s="23" t="n">
        <v>0.0401</v>
      </c>
      <c r="M265" s="23" t="n">
        <v>0.0362</v>
      </c>
      <c r="N265" s="21" t="n">
        <v>213.6883</v>
      </c>
      <c r="O265" s="21" t="n">
        <v>615.792</v>
      </c>
      <c r="P265" s="23" t="n">
        <v>0.1693</v>
      </c>
      <c r="Q265" s="23" t="n">
        <v>0.1771</v>
      </c>
      <c r="R265" s="24" t="n">
        <v>71</v>
      </c>
    </row>
    <row r="266">
      <c r="A266" s="25" t="inlineStr">
        <is>
          <t>MN</t>
        </is>
      </c>
      <c r="B266" s="25" t="n">
        <v>2022</v>
      </c>
      <c r="C266" s="26" t="n">
        <v>1144584</v>
      </c>
      <c r="D266" s="27" t="n">
        <v>4.348096499</v>
      </c>
      <c r="E266" s="28" t="n">
        <v>10431.29</v>
      </c>
      <c r="F266" s="29" t="n">
        <v>0.2662</v>
      </c>
      <c r="G266" s="29" t="n">
        <v>0.2573</v>
      </c>
      <c r="H266" s="29" t="n">
        <v>0.0828</v>
      </c>
      <c r="I266" s="29" t="n">
        <v>0.0722</v>
      </c>
      <c r="J266" s="29" t="n">
        <v>0.0276</v>
      </c>
      <c r="K266" s="29" t="n">
        <v>0.0294</v>
      </c>
      <c r="L266" s="29" t="n">
        <v>0.0388</v>
      </c>
      <c r="M266" s="29" t="n">
        <v>0.0377</v>
      </c>
      <c r="N266" s="26" t="n">
        <v>206.3973</v>
      </c>
      <c r="O266" s="26" t="n">
        <v>630.1723</v>
      </c>
      <c r="P266" s="29" t="n">
        <v>0.1661</v>
      </c>
      <c r="Q266" s="29" t="n">
        <v>0.1805</v>
      </c>
      <c r="R266" s="30" t="n">
        <v>72</v>
      </c>
    </row>
    <row r="267">
      <c r="A267" t="inlineStr">
        <is>
          <t>MN</t>
        </is>
      </c>
      <c r="B267" t="n">
        <v>2023</v>
      </c>
      <c r="C267" s="21" t="n">
        <v>1172156</v>
      </c>
      <c r="D267" s="22" t="n">
        <v>4.418348801</v>
      </c>
      <c r="E267" s="15" t="n">
        <v>11171.58</v>
      </c>
      <c r="F267" s="23" t="n">
        <v>0.2607</v>
      </c>
      <c r="G267" s="23" t="n">
        <v>0.2572</v>
      </c>
      <c r="H267" s="23" t="n">
        <v>0.0805</v>
      </c>
      <c r="I267" s="23" t="n">
        <v>0.06710000000000001</v>
      </c>
      <c r="J267" s="23" t="n">
        <v>0.0357</v>
      </c>
      <c r="K267" s="23" t="n">
        <v>0.0288</v>
      </c>
      <c r="L267" s="23" t="n">
        <v>0.0378</v>
      </c>
      <c r="M267" s="23" t="n">
        <v>0.0383</v>
      </c>
      <c r="N267" s="21" t="n">
        <v>216.8147</v>
      </c>
      <c r="O267" s="21" t="n">
        <v>656.1482999999999</v>
      </c>
      <c r="P267" s="23" t="n">
        <v>0.1693</v>
      </c>
      <c r="Q267" s="23" t="n">
        <v>0.1796</v>
      </c>
      <c r="R267" s="24" t="n">
        <v>72</v>
      </c>
    </row>
    <row r="268">
      <c r="A268" s="25" t="inlineStr">
        <is>
          <t>MN</t>
        </is>
      </c>
      <c r="B268" s="25" t="n">
        <v>2024</v>
      </c>
      <c r="C268" s="26" t="n">
        <v>1204559</v>
      </c>
      <c r="D268" s="27" t="n">
        <v>4.528279998</v>
      </c>
      <c r="E268" s="28" t="n">
        <v>11764.46</v>
      </c>
      <c r="F268" s="29" t="n">
        <v>0.2526</v>
      </c>
      <c r="G268" s="29" t="n">
        <v>0.262</v>
      </c>
      <c r="H268" s="29" t="n">
        <v>0.0795</v>
      </c>
      <c r="I268" s="29" t="n">
        <v>0.0678</v>
      </c>
      <c r="J268" s="29" t="n">
        <v>0.0369</v>
      </c>
      <c r="K268" s="29" t="n">
        <v>0.0286</v>
      </c>
      <c r="L268" s="29" t="n">
        <v>0.0361</v>
      </c>
      <c r="M268" s="29" t="n">
        <v>0.0379</v>
      </c>
      <c r="N268" s="26" t="n">
        <v>219.884</v>
      </c>
      <c r="O268" s="26" t="n">
        <v>654.8588</v>
      </c>
      <c r="P268" s="29" t="n">
        <v>0.1751</v>
      </c>
      <c r="Q268" s="29" t="n">
        <v>0.1671</v>
      </c>
      <c r="R268" s="30" t="n">
        <v>72</v>
      </c>
    </row>
    <row r="269">
      <c r="A269" t="inlineStr">
        <is>
          <t>MO</t>
        </is>
      </c>
      <c r="B269" t="n">
        <v>2014</v>
      </c>
      <c r="C269" s="21" t="n">
        <v>1169488</v>
      </c>
      <c r="D269" s="22" t="n">
        <v>6.947818539</v>
      </c>
      <c r="E269" s="15" t="n">
        <v>9183.870000000001</v>
      </c>
      <c r="F269" s="23" t="n">
        <v>0.3057</v>
      </c>
      <c r="G269" s="23" t="n">
        <v>0.1709</v>
      </c>
      <c r="H269" s="23" t="n">
        <v>0.0873</v>
      </c>
      <c r="I269" s="23" t="n">
        <v>0.0862</v>
      </c>
      <c r="J269" s="23" t="n">
        <v>0.027</v>
      </c>
      <c r="K269" s="23" t="n">
        <v>0.0391</v>
      </c>
      <c r="L269" s="23" t="n">
        <v>0.05</v>
      </c>
      <c r="M269" s="23" t="n">
        <v>0.0365</v>
      </c>
      <c r="N269" s="21" t="n">
        <v>305.3281</v>
      </c>
      <c r="O269" s="21" t="n">
        <v>713.2714999999999</v>
      </c>
      <c r="P269" s="23" t="n">
        <v>0.1831</v>
      </c>
      <c r="Q269" s="23" t="n">
        <v>0.195</v>
      </c>
      <c r="R269" s="24" t="n">
        <v>71</v>
      </c>
    </row>
    <row r="270">
      <c r="A270" s="25" t="inlineStr">
        <is>
          <t>MO</t>
        </is>
      </c>
      <c r="B270" s="25" t="n">
        <v>2015</v>
      </c>
      <c r="C270" s="26" t="n">
        <v>1193386</v>
      </c>
      <c r="D270" s="27" t="n">
        <v>7.084694661</v>
      </c>
      <c r="E270" s="28" t="n">
        <v>9447.99</v>
      </c>
      <c r="F270" s="29" t="n">
        <v>0.2986</v>
      </c>
      <c r="G270" s="29" t="n">
        <v>0.1762</v>
      </c>
      <c r="H270" s="29" t="n">
        <v>0.0882</v>
      </c>
      <c r="I270" s="29" t="n">
        <v>0.08400000000000001</v>
      </c>
      <c r="J270" s="29" t="n">
        <v>0.0282</v>
      </c>
      <c r="K270" s="29" t="n">
        <v>0.0383</v>
      </c>
      <c r="L270" s="29" t="n">
        <v>0.0488</v>
      </c>
      <c r="M270" s="29" t="n">
        <v>0.0359</v>
      </c>
      <c r="N270" s="26" t="n">
        <v>303.3487</v>
      </c>
      <c r="O270" s="26" t="n">
        <v>742.1849</v>
      </c>
      <c r="P270" s="29" t="n">
        <v>0.1833</v>
      </c>
      <c r="Q270" s="29" t="n">
        <v>0.192</v>
      </c>
      <c r="R270" s="30" t="n">
        <v>71</v>
      </c>
    </row>
    <row r="271">
      <c r="A271" t="inlineStr">
        <is>
          <t>MO</t>
        </is>
      </c>
      <c r="B271" t="n">
        <v>2016</v>
      </c>
      <c r="C271" s="21" t="n">
        <v>1216431</v>
      </c>
      <c r="D271" s="22" t="n">
        <v>7.072617389</v>
      </c>
      <c r="E271" s="15" t="n">
        <v>9520.99</v>
      </c>
      <c r="F271" s="23" t="n">
        <v>0.2981</v>
      </c>
      <c r="G271" s="23" t="n">
        <v>0.1876</v>
      </c>
      <c r="H271" s="23" t="n">
        <v>0.0861</v>
      </c>
      <c r="I271" s="23" t="n">
        <v>0.07820000000000001</v>
      </c>
      <c r="J271" s="23" t="n">
        <v>0.0236</v>
      </c>
      <c r="K271" s="23" t="n">
        <v>0.0371</v>
      </c>
      <c r="L271" s="23" t="n">
        <v>0.0487</v>
      </c>
      <c r="M271" s="23" t="n">
        <v>0.0371</v>
      </c>
      <c r="N271" s="21" t="n">
        <v>294.2525</v>
      </c>
      <c r="O271" s="21" t="n">
        <v>734.9461</v>
      </c>
      <c r="P271" s="23" t="n">
        <v>0.1821</v>
      </c>
      <c r="Q271" s="23" t="n">
        <v>0.1889</v>
      </c>
      <c r="R271" s="24" t="n">
        <v>71</v>
      </c>
    </row>
    <row r="272">
      <c r="A272" s="25" t="inlineStr">
        <is>
          <t>MO</t>
        </is>
      </c>
      <c r="B272" s="25" t="n">
        <v>2017</v>
      </c>
      <c r="C272" s="26" t="n">
        <v>1237806</v>
      </c>
      <c r="D272" s="27" t="n">
        <v>7.167619596</v>
      </c>
      <c r="E272" s="28" t="n">
        <v>9827.809999999999</v>
      </c>
      <c r="F272" s="29" t="n">
        <v>0.2961</v>
      </c>
      <c r="G272" s="29" t="n">
        <v>0.1983</v>
      </c>
      <c r="H272" s="29" t="n">
        <v>0.0839</v>
      </c>
      <c r="I272" s="29" t="n">
        <v>0.0747</v>
      </c>
      <c r="J272" s="29" t="n">
        <v>0.022</v>
      </c>
      <c r="K272" s="29" t="n">
        <v>0.0361</v>
      </c>
      <c r="L272" s="29" t="n">
        <v>0.0474</v>
      </c>
      <c r="M272" s="29" t="n">
        <v>0.0377</v>
      </c>
      <c r="N272" s="26" t="n">
        <v>294.5922</v>
      </c>
      <c r="O272" s="26" t="n">
        <v>731.8447</v>
      </c>
      <c r="P272" s="29" t="n">
        <v>0.1853</v>
      </c>
      <c r="Q272" s="29" t="n">
        <v>0.1854</v>
      </c>
      <c r="R272" s="30" t="n">
        <v>71</v>
      </c>
    </row>
    <row r="273">
      <c r="A273" t="inlineStr">
        <is>
          <t>MO</t>
        </is>
      </c>
      <c r="B273" t="n">
        <v>2018</v>
      </c>
      <c r="C273" s="21" t="n">
        <v>1263436</v>
      </c>
      <c r="D273" s="22" t="n">
        <v>7.338639563</v>
      </c>
      <c r="E273" s="15" t="n">
        <v>10213.71</v>
      </c>
      <c r="F273" s="23" t="n">
        <v>0.2891</v>
      </c>
      <c r="G273" s="23" t="n">
        <v>0.2061</v>
      </c>
      <c r="H273" s="23" t="n">
        <v>0.08160000000000001</v>
      </c>
      <c r="I273" s="23" t="n">
        <v>0.07340000000000001</v>
      </c>
      <c r="J273" s="23" t="n">
        <v>0.0227</v>
      </c>
      <c r="K273" s="23" t="n">
        <v>0.0344</v>
      </c>
      <c r="L273" s="23" t="n">
        <v>0.0469</v>
      </c>
      <c r="M273" s="23" t="n">
        <v>0.0369</v>
      </c>
      <c r="N273" s="21" t="n">
        <v>291.2378</v>
      </c>
      <c r="O273" s="21" t="n">
        <v>710.307</v>
      </c>
      <c r="P273" s="23" t="n">
        <v>0.1864</v>
      </c>
      <c r="Q273" s="23" t="n">
        <v>0.1769</v>
      </c>
      <c r="R273" s="24" t="n">
        <v>71</v>
      </c>
    </row>
    <row r="274">
      <c r="A274" s="25" t="inlineStr">
        <is>
          <t>MO</t>
        </is>
      </c>
      <c r="B274" s="25" t="n">
        <v>2019</v>
      </c>
      <c r="C274" s="26" t="n">
        <v>1285579</v>
      </c>
      <c r="D274" s="27" t="n">
        <v>7.295217779</v>
      </c>
      <c r="E274" s="28" t="n">
        <v>10594.26</v>
      </c>
      <c r="F274" s="29" t="n">
        <v>0.2844</v>
      </c>
      <c r="G274" s="29" t="n">
        <v>0.2104</v>
      </c>
      <c r="H274" s="29" t="n">
        <v>0.0806</v>
      </c>
      <c r="I274" s="29" t="n">
        <v>0.0726</v>
      </c>
      <c r="J274" s="29" t="n">
        <v>0.0232</v>
      </c>
      <c r="K274" s="29" t="n">
        <v>0.0328</v>
      </c>
      <c r="L274" s="29" t="n">
        <v>0.0461</v>
      </c>
      <c r="M274" s="29" t="n">
        <v>0.0378</v>
      </c>
      <c r="N274" s="26" t="n">
        <v>285.5456</v>
      </c>
      <c r="O274" s="26" t="n">
        <v>701.5093000000001</v>
      </c>
      <c r="P274" s="29" t="n">
        <v>0.1836</v>
      </c>
      <c r="Q274" s="29" t="n">
        <v>0.1695</v>
      </c>
      <c r="R274" s="30" t="n">
        <v>71</v>
      </c>
    </row>
    <row r="275">
      <c r="A275" t="inlineStr">
        <is>
          <t>MO</t>
        </is>
      </c>
      <c r="B275" t="n">
        <v>2020</v>
      </c>
      <c r="C275" s="21" t="n">
        <v>1308493</v>
      </c>
      <c r="D275" s="22" t="n">
        <v>6.88783896</v>
      </c>
      <c r="E275" s="15" t="n">
        <v>10331.35</v>
      </c>
      <c r="F275" s="23" t="n">
        <v>0.2745</v>
      </c>
      <c r="G275" s="23" t="n">
        <v>0.2085</v>
      </c>
      <c r="H275" s="23" t="n">
        <v>0.0757</v>
      </c>
      <c r="I275" s="23" t="n">
        <v>0.0827</v>
      </c>
      <c r="J275" s="23" t="n">
        <v>0.0261</v>
      </c>
      <c r="K275" s="23" t="n">
        <v>0.033</v>
      </c>
      <c r="L275" s="23" t="n">
        <v>0.0411</v>
      </c>
      <c r="M275" s="23" t="n">
        <v>0.0399</v>
      </c>
      <c r="N275" s="21" t="n">
        <v>246.8078</v>
      </c>
      <c r="O275" s="21" t="n">
        <v>578.1327</v>
      </c>
      <c r="P275" s="23" t="n">
        <v>0.1848</v>
      </c>
      <c r="Q275" s="23" t="n">
        <v>0.1608</v>
      </c>
      <c r="R275" s="24" t="n">
        <v>71</v>
      </c>
    </row>
    <row r="276">
      <c r="A276" s="25" t="inlineStr">
        <is>
          <t>MO</t>
        </is>
      </c>
      <c r="B276" s="25" t="n">
        <v>2021</v>
      </c>
      <c r="C276" s="26" t="n">
        <v>1325405</v>
      </c>
      <c r="D276" s="27" t="n">
        <v>6.790813885</v>
      </c>
      <c r="E276" s="28" t="n">
        <v>10873.46</v>
      </c>
      <c r="F276" s="29" t="n">
        <v>0.2631</v>
      </c>
      <c r="G276" s="29" t="n">
        <v>0.2243</v>
      </c>
      <c r="H276" s="29" t="n">
        <v>0.0832</v>
      </c>
      <c r="I276" s="29" t="n">
        <v>0.0737</v>
      </c>
      <c r="J276" s="29" t="n">
        <v>0.0264</v>
      </c>
      <c r="K276" s="29" t="n">
        <v>0.0321</v>
      </c>
      <c r="L276" s="29" t="n">
        <v>0.0427</v>
      </c>
      <c r="M276" s="29" t="n">
        <v>0.0369</v>
      </c>
      <c r="N276" s="26" t="n">
        <v>241.7334</v>
      </c>
      <c r="O276" s="26" t="n">
        <v>590.1613</v>
      </c>
      <c r="P276" s="29" t="n">
        <v>0.1823</v>
      </c>
      <c r="Q276" s="29" t="n">
        <v>0.1474</v>
      </c>
      <c r="R276" s="30" t="n">
        <v>72</v>
      </c>
    </row>
    <row r="277">
      <c r="A277" t="inlineStr">
        <is>
          <t>MO</t>
        </is>
      </c>
      <c r="B277" t="n">
        <v>2022</v>
      </c>
      <c r="C277" s="21" t="n">
        <v>1345931</v>
      </c>
      <c r="D277" s="22" t="n">
        <v>6.55365785</v>
      </c>
      <c r="E277" s="15" t="n">
        <v>11140.2</v>
      </c>
      <c r="F277" s="23" t="n">
        <v>0.2549</v>
      </c>
      <c r="G277" s="23" t="n">
        <v>0.2288</v>
      </c>
      <c r="H277" s="23" t="n">
        <v>0.08110000000000001</v>
      </c>
      <c r="I277" s="23" t="n">
        <v>0.07870000000000001</v>
      </c>
      <c r="J277" s="23" t="n">
        <v>0.0278</v>
      </c>
      <c r="K277" s="23" t="n">
        <v>0.0309</v>
      </c>
      <c r="L277" s="23" t="n">
        <v>0.0414</v>
      </c>
      <c r="M277" s="23" t="n">
        <v>0.038</v>
      </c>
      <c r="N277" s="21" t="n">
        <v>237.2949</v>
      </c>
      <c r="O277" s="21" t="n">
        <v>596.3871</v>
      </c>
      <c r="P277" s="23" t="n">
        <v>0.1822</v>
      </c>
      <c r="Q277" s="23" t="n">
        <v>0.137</v>
      </c>
      <c r="R277" s="24" t="n">
        <v>72</v>
      </c>
    </row>
    <row r="278">
      <c r="A278" s="25" t="inlineStr">
        <is>
          <t>MO</t>
        </is>
      </c>
      <c r="B278" s="25" t="n">
        <v>2023</v>
      </c>
      <c r="C278" s="26" t="n">
        <v>1367107</v>
      </c>
      <c r="D278" s="27" t="n">
        <v>6.589340979</v>
      </c>
      <c r="E278" s="28" t="n">
        <v>11954.26</v>
      </c>
      <c r="F278" s="29" t="n">
        <v>0.2455</v>
      </c>
      <c r="G278" s="29" t="n">
        <v>0.2346</v>
      </c>
      <c r="H278" s="29" t="n">
        <v>0.07870000000000001</v>
      </c>
      <c r="I278" s="29" t="n">
        <v>0.07149999999999999</v>
      </c>
      <c r="J278" s="29" t="n">
        <v>0.0392</v>
      </c>
      <c r="K278" s="29" t="n">
        <v>0.0284</v>
      </c>
      <c r="L278" s="29" t="n">
        <v>0.0394</v>
      </c>
      <c r="M278" s="29" t="n">
        <v>0.0386</v>
      </c>
      <c r="N278" s="26" t="n">
        <v>241.0538</v>
      </c>
      <c r="O278" s="26" t="n">
        <v>606.4226</v>
      </c>
      <c r="P278" s="29" t="n">
        <v>0.1815</v>
      </c>
      <c r="Q278" s="29" t="n">
        <v>0.1271</v>
      </c>
      <c r="R278" s="30" t="n">
        <v>73</v>
      </c>
    </row>
    <row r="279">
      <c r="A279" t="inlineStr">
        <is>
          <t>MO</t>
        </is>
      </c>
      <c r="B279" t="n">
        <v>2024</v>
      </c>
      <c r="C279" s="21" t="n">
        <v>1393455</v>
      </c>
      <c r="D279" s="22" t="n">
        <v>6.741007356</v>
      </c>
      <c r="E279" s="15" t="n">
        <v>12615.58</v>
      </c>
      <c r="F279" s="23" t="n">
        <v>0.2418</v>
      </c>
      <c r="G279" s="23" t="n">
        <v>0.2494</v>
      </c>
      <c r="H279" s="23" t="n">
        <v>0.0759</v>
      </c>
      <c r="I279" s="23" t="n">
        <v>0.0665</v>
      </c>
      <c r="J279" s="23" t="n">
        <v>0.036</v>
      </c>
      <c r="K279" s="23" t="n">
        <v>0.0268</v>
      </c>
      <c r="L279" s="23" t="n">
        <v>0.0376</v>
      </c>
      <c r="M279" s="23" t="n">
        <v>0.0397</v>
      </c>
      <c r="N279" s="21" t="n">
        <v>244.5465</v>
      </c>
      <c r="O279" s="21" t="n">
        <v>618.4321</v>
      </c>
      <c r="P279" s="23" t="n">
        <v>0.1838</v>
      </c>
      <c r="Q279" s="23" t="n">
        <v>0.1195</v>
      </c>
      <c r="R279" s="24" t="n">
        <v>73</v>
      </c>
    </row>
    <row r="280">
      <c r="A280" s="25" t="inlineStr">
        <is>
          <t>MS</t>
        </is>
      </c>
      <c r="B280" s="25" t="n">
        <v>2014</v>
      </c>
      <c r="C280" s="26" t="n">
        <v>575816</v>
      </c>
      <c r="D280" s="27" t="n">
        <v>4.649545676</v>
      </c>
      <c r="E280" s="28" t="n">
        <v>10188.02</v>
      </c>
      <c r="F280" s="29" t="n">
        <v>0.274</v>
      </c>
      <c r="G280" s="29" t="n">
        <v>0.1406</v>
      </c>
      <c r="H280" s="29" t="n">
        <v>0.0799</v>
      </c>
      <c r="I280" s="29" t="n">
        <v>0.0958</v>
      </c>
      <c r="J280" s="29" t="n">
        <v>0.0299</v>
      </c>
      <c r="K280" s="29" t="n">
        <v>0.0813</v>
      </c>
      <c r="L280" s="29" t="n">
        <v>0.0409</v>
      </c>
      <c r="M280" s="29" t="n">
        <v>0.0394</v>
      </c>
      <c r="N280" s="26" t="n">
        <v>311.2184</v>
      </c>
      <c r="O280" s="26" t="n">
        <v>819.4573</v>
      </c>
      <c r="P280" s="29" t="n">
        <v>0.1838</v>
      </c>
      <c r="Q280" s="29" t="n">
        <v>0.3136</v>
      </c>
      <c r="R280" s="30" t="n">
        <v>69</v>
      </c>
    </row>
    <row r="281">
      <c r="A281" t="inlineStr">
        <is>
          <t>MS</t>
        </is>
      </c>
      <c r="B281" t="n">
        <v>2015</v>
      </c>
      <c r="C281" s="21" t="n">
        <v>586938</v>
      </c>
      <c r="D281" s="22" t="n">
        <v>4.870478354</v>
      </c>
      <c r="E281" s="15" t="n">
        <v>10633.4</v>
      </c>
      <c r="F281" s="23" t="n">
        <v>0.268</v>
      </c>
      <c r="G281" s="23" t="n">
        <v>0.1464</v>
      </c>
      <c r="H281" s="23" t="n">
        <v>0.0814</v>
      </c>
      <c r="I281" s="23" t="n">
        <v>0.0997</v>
      </c>
      <c r="J281" s="23" t="n">
        <v>0.0306</v>
      </c>
      <c r="K281" s="23" t="n">
        <v>0.0776</v>
      </c>
      <c r="L281" s="23" t="n">
        <v>0.0407</v>
      </c>
      <c r="M281" s="23" t="n">
        <v>0.0385</v>
      </c>
      <c r="N281" s="21" t="n">
        <v>314.5975</v>
      </c>
      <c r="O281" s="21" t="n">
        <v>852.1295</v>
      </c>
      <c r="P281" s="23" t="n">
        <v>0.1851</v>
      </c>
      <c r="Q281" s="23" t="n">
        <v>0.3083</v>
      </c>
      <c r="R281" s="24" t="n">
        <v>70</v>
      </c>
    </row>
    <row r="282">
      <c r="A282" s="25" t="inlineStr">
        <is>
          <t>MS</t>
        </is>
      </c>
      <c r="B282" s="25" t="n">
        <v>2016</v>
      </c>
      <c r="C282" s="26" t="n">
        <v>597070</v>
      </c>
      <c r="D282" s="27" t="n">
        <v>4.911569575</v>
      </c>
      <c r="E282" s="28" t="n">
        <v>10704.58</v>
      </c>
      <c r="F282" s="29" t="n">
        <v>0.2704</v>
      </c>
      <c r="G282" s="29" t="n">
        <v>0.1564</v>
      </c>
      <c r="H282" s="29" t="n">
        <v>0.08069999999999999</v>
      </c>
      <c r="I282" s="29" t="n">
        <v>0.0998</v>
      </c>
      <c r="J282" s="29" t="n">
        <v>0.0249</v>
      </c>
      <c r="K282" s="29" t="n">
        <v>0.0731</v>
      </c>
      <c r="L282" s="29" t="n">
        <v>0.0415</v>
      </c>
      <c r="M282" s="29" t="n">
        <v>0.0387</v>
      </c>
      <c r="N282" s="26" t="n">
        <v>307.3258</v>
      </c>
      <c r="O282" s="26" t="n">
        <v>840.6116</v>
      </c>
      <c r="P282" s="29" t="n">
        <v>0.1846</v>
      </c>
      <c r="Q282" s="29" t="n">
        <v>0.301</v>
      </c>
      <c r="R282" s="30" t="n">
        <v>70</v>
      </c>
    </row>
    <row r="283">
      <c r="A283" t="inlineStr">
        <is>
          <t>MS</t>
        </is>
      </c>
      <c r="B283" t="n">
        <v>2017</v>
      </c>
      <c r="C283" s="21" t="n">
        <v>606549</v>
      </c>
      <c r="D283" s="22" t="n">
        <v>5.015232953</v>
      </c>
      <c r="E283" s="15" t="n">
        <v>10998.49</v>
      </c>
      <c r="F283" s="23" t="n">
        <v>0.2667</v>
      </c>
      <c r="G283" s="23" t="n">
        <v>0.167</v>
      </c>
      <c r="H283" s="23" t="n">
        <v>0.0805</v>
      </c>
      <c r="I283" s="23" t="n">
        <v>0.09569999999999999</v>
      </c>
      <c r="J283" s="23" t="n">
        <v>0.0238</v>
      </c>
      <c r="K283" s="23" t="n">
        <v>0.0697</v>
      </c>
      <c r="L283" s="23" t="n">
        <v>0.0415</v>
      </c>
      <c r="M283" s="23" t="n">
        <v>0.0403</v>
      </c>
      <c r="N283" s="21" t="n">
        <v>307.7394</v>
      </c>
      <c r="O283" s="21" t="n">
        <v>834.276</v>
      </c>
      <c r="P283" s="23" t="n">
        <v>0.1861</v>
      </c>
      <c r="Q283" s="23" t="n">
        <v>0.2949</v>
      </c>
      <c r="R283" s="24" t="n">
        <v>70</v>
      </c>
    </row>
    <row r="284">
      <c r="A284" s="25" t="inlineStr">
        <is>
          <t>MS</t>
        </is>
      </c>
      <c r="B284" s="25" t="n">
        <v>2018</v>
      </c>
      <c r="C284" s="26" t="n">
        <v>619848</v>
      </c>
      <c r="D284" s="27" t="n">
        <v>5.19998359</v>
      </c>
      <c r="E284" s="28" t="n">
        <v>11449.37</v>
      </c>
      <c r="F284" s="29" t="n">
        <v>0.2548</v>
      </c>
      <c r="G284" s="29" t="n">
        <v>0.1723</v>
      </c>
      <c r="H284" s="29" t="n">
        <v>0.07969999999999999</v>
      </c>
      <c r="I284" s="29" t="n">
        <v>0.0941</v>
      </c>
      <c r="J284" s="29" t="n">
        <v>0.0251</v>
      </c>
      <c r="K284" s="29" t="n">
        <v>0.06900000000000001</v>
      </c>
      <c r="L284" s="29" t="n">
        <v>0.0405</v>
      </c>
      <c r="M284" s="29" t="n">
        <v>0.042</v>
      </c>
      <c r="N284" s="26" t="n">
        <v>299.8864</v>
      </c>
      <c r="O284" s="26" t="n">
        <v>807.8040999999999</v>
      </c>
      <c r="P284" s="29" t="n">
        <v>0.1835</v>
      </c>
      <c r="Q284" s="29" t="n">
        <v>0.2863</v>
      </c>
      <c r="R284" s="30" t="n">
        <v>70</v>
      </c>
    </row>
    <row r="285">
      <c r="A285" t="inlineStr">
        <is>
          <t>MS</t>
        </is>
      </c>
      <c r="B285" t="n">
        <v>2019</v>
      </c>
      <c r="C285" s="21" t="n">
        <v>630700</v>
      </c>
      <c r="D285" s="22" t="n">
        <v>5.347664747</v>
      </c>
      <c r="E285" s="15" t="n">
        <v>11905.05</v>
      </c>
      <c r="F285" s="23" t="n">
        <v>0.2534</v>
      </c>
      <c r="G285" s="23" t="n">
        <v>0.1707</v>
      </c>
      <c r="H285" s="23" t="n">
        <v>0.0799</v>
      </c>
      <c r="I285" s="23" t="n">
        <v>0.0887</v>
      </c>
      <c r="J285" s="23" t="n">
        <v>0.0247</v>
      </c>
      <c r="K285" s="23" t="n">
        <v>0.0677</v>
      </c>
      <c r="L285" s="23" t="n">
        <v>0.0408</v>
      </c>
      <c r="M285" s="23" t="n">
        <v>0.0425</v>
      </c>
      <c r="N285" s="21" t="n">
        <v>295.2139</v>
      </c>
      <c r="O285" s="21" t="n">
        <v>795.609</v>
      </c>
      <c r="P285" s="23" t="n">
        <v>0.187</v>
      </c>
      <c r="Q285" s="23" t="n">
        <v>0.2726</v>
      </c>
      <c r="R285" s="24" t="n">
        <v>70</v>
      </c>
    </row>
    <row r="286">
      <c r="A286" s="25" t="inlineStr">
        <is>
          <t>MS</t>
        </is>
      </c>
      <c r="B286" s="25" t="n">
        <v>2020</v>
      </c>
      <c r="C286" s="26" t="n">
        <v>640263</v>
      </c>
      <c r="D286" s="27" t="n">
        <v>4.989409937</v>
      </c>
      <c r="E286" s="28" t="n">
        <v>11487.89</v>
      </c>
      <c r="F286" s="29" t="n">
        <v>0.2502</v>
      </c>
      <c r="G286" s="29" t="n">
        <v>0.163</v>
      </c>
      <c r="H286" s="29" t="n">
        <v>0.0756</v>
      </c>
      <c r="I286" s="29" t="n">
        <v>0.09030000000000001</v>
      </c>
      <c r="J286" s="29" t="n">
        <v>0.0273</v>
      </c>
      <c r="K286" s="29" t="n">
        <v>0.0756</v>
      </c>
      <c r="L286" s="29" t="n">
        <v>0.0373</v>
      </c>
      <c r="M286" s="29" t="n">
        <v>0.0447</v>
      </c>
      <c r="N286" s="26" t="n">
        <v>254.1427</v>
      </c>
      <c r="O286" s="26" t="n">
        <v>637.2712</v>
      </c>
      <c r="P286" s="29" t="n">
        <v>0.1875</v>
      </c>
      <c r="Q286" s="29" t="n">
        <v>0.2514</v>
      </c>
      <c r="R286" s="30" t="n">
        <v>71</v>
      </c>
    </row>
    <row r="287">
      <c r="A287" t="inlineStr">
        <is>
          <t>MS</t>
        </is>
      </c>
      <c r="B287" t="n">
        <v>2021</v>
      </c>
      <c r="C287" s="21" t="n">
        <v>646117</v>
      </c>
      <c r="D287" s="22" t="n">
        <v>4.785184143</v>
      </c>
      <c r="E287" s="15" t="n">
        <v>12024.89</v>
      </c>
      <c r="F287" s="23" t="n">
        <v>0.2361</v>
      </c>
      <c r="G287" s="23" t="n">
        <v>0.1732</v>
      </c>
      <c r="H287" s="23" t="n">
        <v>0.0844</v>
      </c>
      <c r="I287" s="23" t="n">
        <v>0.08359999999999999</v>
      </c>
      <c r="J287" s="23" t="n">
        <v>0.0306</v>
      </c>
      <c r="K287" s="23" t="n">
        <v>0.07190000000000001</v>
      </c>
      <c r="L287" s="23" t="n">
        <v>0.0394</v>
      </c>
      <c r="M287" s="23" t="n">
        <v>0.0447</v>
      </c>
      <c r="N287" s="21" t="n">
        <v>238.3324</v>
      </c>
      <c r="O287" s="21" t="n">
        <v>632.6557</v>
      </c>
      <c r="P287" s="23" t="n">
        <v>0.1828</v>
      </c>
      <c r="Q287" s="23" t="n">
        <v>0.2271</v>
      </c>
      <c r="R287" s="24" t="n">
        <v>71</v>
      </c>
    </row>
    <row r="288">
      <c r="A288" s="25" t="inlineStr">
        <is>
          <t>MS</t>
        </is>
      </c>
      <c r="B288" s="25" t="n">
        <v>2022</v>
      </c>
      <c r="C288" s="26" t="n">
        <v>653073</v>
      </c>
      <c r="D288" s="27" t="n">
        <v>4.645835612</v>
      </c>
      <c r="E288" s="28" t="n">
        <v>12590.89</v>
      </c>
      <c r="F288" s="29" t="n">
        <v>0.2269</v>
      </c>
      <c r="G288" s="29" t="n">
        <v>0.1747</v>
      </c>
      <c r="H288" s="29" t="n">
        <v>0.0828</v>
      </c>
      <c r="I288" s="29" t="n">
        <v>0.0838</v>
      </c>
      <c r="J288" s="29" t="n">
        <v>0.0397</v>
      </c>
      <c r="K288" s="29" t="n">
        <v>0.0702</v>
      </c>
      <c r="L288" s="29" t="n">
        <v>0.039</v>
      </c>
      <c r="M288" s="29" t="n">
        <v>0.0451</v>
      </c>
      <c r="N288" s="26" t="n">
        <v>236.2596</v>
      </c>
      <c r="O288" s="26" t="n">
        <v>640.8977</v>
      </c>
      <c r="P288" s="29" t="n">
        <v>0.1799</v>
      </c>
      <c r="Q288" s="29" t="n">
        <v>0.2023</v>
      </c>
      <c r="R288" s="30" t="n">
        <v>72</v>
      </c>
    </row>
    <row r="289">
      <c r="A289" t="inlineStr">
        <is>
          <t>MS</t>
        </is>
      </c>
      <c r="B289" t="n">
        <v>2023</v>
      </c>
      <c r="C289" s="21" t="n">
        <v>660913</v>
      </c>
      <c r="D289" s="22" t="n">
        <v>4.619729135</v>
      </c>
      <c r="E289" s="15" t="n">
        <v>13473.86</v>
      </c>
      <c r="F289" s="23" t="n">
        <v>0.2124</v>
      </c>
      <c r="G289" s="23" t="n">
        <v>0.1761</v>
      </c>
      <c r="H289" s="23" t="n">
        <v>0.0799</v>
      </c>
      <c r="I289" s="23" t="n">
        <v>0.0839</v>
      </c>
      <c r="J289" s="23" t="n">
        <v>0.0549</v>
      </c>
      <c r="K289" s="23" t="n">
        <v>0.06560000000000001</v>
      </c>
      <c r="L289" s="23" t="n">
        <v>0.0374</v>
      </c>
      <c r="M289" s="23" t="n">
        <v>0.0469</v>
      </c>
      <c r="N289" s="21" t="n">
        <v>235.0889</v>
      </c>
      <c r="O289" s="21" t="n">
        <v>632.4045</v>
      </c>
      <c r="P289" s="23" t="n">
        <v>0.1765</v>
      </c>
      <c r="Q289" s="23" t="n">
        <v>0.1778</v>
      </c>
      <c r="R289" s="24" t="n">
        <v>72</v>
      </c>
    </row>
    <row r="290">
      <c r="A290" s="25" t="inlineStr">
        <is>
          <t>MS</t>
        </is>
      </c>
      <c r="B290" s="25" t="n">
        <v>2024</v>
      </c>
      <c r="C290" s="26" t="n">
        <v>671518</v>
      </c>
      <c r="D290" s="27" t="n">
        <v>4.66621578</v>
      </c>
      <c r="E290" s="28" t="n">
        <v>14252.64</v>
      </c>
      <c r="F290" s="29" t="n">
        <v>0.2092</v>
      </c>
      <c r="G290" s="29" t="n">
        <v>0.1813</v>
      </c>
      <c r="H290" s="29" t="n">
        <v>0.07729999999999999</v>
      </c>
      <c r="I290" s="29" t="n">
        <v>0.0832</v>
      </c>
      <c r="J290" s="29" t="n">
        <v>0.057</v>
      </c>
      <c r="K290" s="29" t="n">
        <v>0.0612</v>
      </c>
      <c r="L290" s="29" t="n">
        <v>0.0355</v>
      </c>
      <c r="M290" s="29" t="n">
        <v>0.0492</v>
      </c>
      <c r="N290" s="26" t="n">
        <v>241.0956</v>
      </c>
      <c r="O290" s="26" t="n">
        <v>636.9654</v>
      </c>
      <c r="P290" s="29" t="n">
        <v>0.185</v>
      </c>
      <c r="Q290" s="29" t="n">
        <v>0.1594</v>
      </c>
      <c r="R290" s="30" t="n">
        <v>73</v>
      </c>
    </row>
    <row r="291">
      <c r="A291" t="inlineStr">
        <is>
          <t>MT</t>
        </is>
      </c>
      <c r="B291" t="n">
        <v>2014</v>
      </c>
      <c r="C291" s="21" t="n">
        <v>204770</v>
      </c>
      <c r="D291" s="22" t="n">
        <v>1.045200446</v>
      </c>
      <c r="E291" s="15" t="n">
        <v>6898.79</v>
      </c>
      <c r="F291" s="23" t="n">
        <v>0.2911</v>
      </c>
      <c r="G291" s="23" t="n">
        <v>0.251</v>
      </c>
      <c r="H291" s="23" t="n">
        <v>0.07729999999999999</v>
      </c>
      <c r="I291" s="23" t="n">
        <v>0.0977</v>
      </c>
      <c r="J291" s="23" t="n">
        <v>0.0296</v>
      </c>
      <c r="K291" s="23" t="n">
        <v>0.0222</v>
      </c>
      <c r="L291" s="23" t="n">
        <v>0.0533</v>
      </c>
      <c r="M291" s="23" t="n">
        <v>0.03</v>
      </c>
      <c r="N291" s="21" t="n">
        <v>216.3427</v>
      </c>
      <c r="O291" s="21" t="n">
        <v>541.5267</v>
      </c>
      <c r="P291" s="23" t="n">
        <v>0.1382</v>
      </c>
      <c r="Q291" s="23" t="n">
        <v>0.16</v>
      </c>
      <c r="R291" s="24" t="n">
        <v>72</v>
      </c>
    </row>
    <row r="292">
      <c r="A292" s="25" t="inlineStr">
        <is>
          <t>MT</t>
        </is>
      </c>
      <c r="B292" s="25" t="n">
        <v>2015</v>
      </c>
      <c r="C292" s="26" t="n">
        <v>211460</v>
      </c>
      <c r="D292" s="27" t="n">
        <v>1.115972673</v>
      </c>
      <c r="E292" s="28" t="n">
        <v>7251.19</v>
      </c>
      <c r="F292" s="29" t="n">
        <v>0.2827</v>
      </c>
      <c r="G292" s="29" t="n">
        <v>0.2558</v>
      </c>
      <c r="H292" s="29" t="n">
        <v>0.0762</v>
      </c>
      <c r="I292" s="29" t="n">
        <v>0.1</v>
      </c>
      <c r="J292" s="29" t="n">
        <v>0.0307</v>
      </c>
      <c r="K292" s="29" t="n">
        <v>0.0226</v>
      </c>
      <c r="L292" s="29" t="n">
        <v>0.0513</v>
      </c>
      <c r="M292" s="29" t="n">
        <v>0.0293</v>
      </c>
      <c r="N292" s="26" t="n">
        <v>219.12</v>
      </c>
      <c r="O292" s="26" t="n">
        <v>558.4528</v>
      </c>
      <c r="P292" s="29" t="n">
        <v>0.1407</v>
      </c>
      <c r="Q292" s="29" t="n">
        <v>0.1615</v>
      </c>
      <c r="R292" s="30" t="n">
        <v>72</v>
      </c>
    </row>
    <row r="293">
      <c r="A293" t="inlineStr">
        <is>
          <t>MT</t>
        </is>
      </c>
      <c r="B293" t="n">
        <v>2016</v>
      </c>
      <c r="C293" s="21" t="n">
        <v>218696</v>
      </c>
      <c r="D293" s="22" t="n">
        <v>1.152421583</v>
      </c>
      <c r="E293" s="15" t="n">
        <v>7395.9</v>
      </c>
      <c r="F293" s="23" t="n">
        <v>0.2815</v>
      </c>
      <c r="G293" s="23" t="n">
        <v>0.27</v>
      </c>
      <c r="H293" s="23" t="n">
        <v>0.07199999999999999</v>
      </c>
      <c r="I293" s="23" t="n">
        <v>0.0959</v>
      </c>
      <c r="J293" s="23" t="n">
        <v>0.0235</v>
      </c>
      <c r="K293" s="23" t="n">
        <v>0.0223</v>
      </c>
      <c r="L293" s="23" t="n">
        <v>0.051</v>
      </c>
      <c r="M293" s="23" t="n">
        <v>0.0301</v>
      </c>
      <c r="N293" s="21" t="n">
        <v>214.5181</v>
      </c>
      <c r="O293" s="21" t="n">
        <v>570.9894</v>
      </c>
      <c r="P293" s="23" t="n">
        <v>0.1408</v>
      </c>
      <c r="Q293" s="23" t="n">
        <v>0.1633</v>
      </c>
      <c r="R293" s="24" t="n">
        <v>72</v>
      </c>
    </row>
    <row r="294">
      <c r="A294" s="25" t="inlineStr">
        <is>
          <t>MT</t>
        </is>
      </c>
      <c r="B294" s="25" t="n">
        <v>2017</v>
      </c>
      <c r="C294" s="26" t="n">
        <v>225947</v>
      </c>
      <c r="D294" s="27" t="n">
        <v>1.216235625</v>
      </c>
      <c r="E294" s="28" t="n">
        <v>7650.58</v>
      </c>
      <c r="F294" s="29" t="n">
        <v>0.2829</v>
      </c>
      <c r="G294" s="29" t="n">
        <v>0.281</v>
      </c>
      <c r="H294" s="29" t="n">
        <v>0.07140000000000001</v>
      </c>
      <c r="I294" s="29" t="n">
        <v>0.0907</v>
      </c>
      <c r="J294" s="29" t="n">
        <v>0.0203</v>
      </c>
      <c r="K294" s="29" t="n">
        <v>0.021</v>
      </c>
      <c r="L294" s="29" t="n">
        <v>0.0501</v>
      </c>
      <c r="M294" s="29" t="n">
        <v>0.0293</v>
      </c>
      <c r="N294" s="26" t="n">
        <v>216.7789</v>
      </c>
      <c r="O294" s="26" t="n">
        <v>576.2551</v>
      </c>
      <c r="P294" s="29" t="n">
        <v>0.1389</v>
      </c>
      <c r="Q294" s="29" t="n">
        <v>0.165</v>
      </c>
      <c r="R294" s="30" t="n">
        <v>72</v>
      </c>
    </row>
    <row r="295">
      <c r="A295" t="inlineStr">
        <is>
          <t>MT</t>
        </is>
      </c>
      <c r="B295" t="n">
        <v>2018</v>
      </c>
      <c r="C295" s="21" t="n">
        <v>233836</v>
      </c>
      <c r="D295" s="22" t="n">
        <v>1.352246621</v>
      </c>
      <c r="E295" s="15" t="n">
        <v>8011.37</v>
      </c>
      <c r="F295" s="23" t="n">
        <v>0.267</v>
      </c>
      <c r="G295" s="23" t="n">
        <v>0.3083</v>
      </c>
      <c r="H295" s="23" t="n">
        <v>0.06909999999999999</v>
      </c>
      <c r="I295" s="23" t="n">
        <v>0.0872</v>
      </c>
      <c r="J295" s="23" t="n">
        <v>0.0211</v>
      </c>
      <c r="K295" s="23" t="n">
        <v>0.0194</v>
      </c>
      <c r="L295" s="23" t="n">
        <v>0.0483</v>
      </c>
      <c r="M295" s="23" t="n">
        <v>0.0297</v>
      </c>
      <c r="N295" s="21" t="n">
        <v>209.1344</v>
      </c>
      <c r="O295" s="21" t="n">
        <v>570.9013</v>
      </c>
      <c r="P295" s="23" t="n">
        <v>0.141</v>
      </c>
      <c r="Q295" s="23" t="n">
        <v>0.1582</v>
      </c>
      <c r="R295" s="24" t="n">
        <v>72</v>
      </c>
    </row>
    <row r="296">
      <c r="A296" s="25" t="inlineStr">
        <is>
          <t>MT</t>
        </is>
      </c>
      <c r="B296" s="25" t="n">
        <v>2019</v>
      </c>
      <c r="C296" s="26" t="n">
        <v>241423</v>
      </c>
      <c r="D296" s="27" t="n">
        <v>1.413976638</v>
      </c>
      <c r="E296" s="28" t="n">
        <v>8195.4</v>
      </c>
      <c r="F296" s="29" t="n">
        <v>0.266</v>
      </c>
      <c r="G296" s="29" t="n">
        <v>0.3061</v>
      </c>
      <c r="H296" s="29" t="n">
        <v>0.0679</v>
      </c>
      <c r="I296" s="29" t="n">
        <v>0.0876</v>
      </c>
      <c r="J296" s="29" t="n">
        <v>0.0212</v>
      </c>
      <c r="K296" s="29" t="n">
        <v>0.0187</v>
      </c>
      <c r="L296" s="29" t="n">
        <v>0.0484</v>
      </c>
      <c r="M296" s="29" t="n">
        <v>0.0296</v>
      </c>
      <c r="N296" s="26" t="n">
        <v>204.442</v>
      </c>
      <c r="O296" s="26" t="n">
        <v>550.0977</v>
      </c>
      <c r="P296" s="29" t="n">
        <v>0.1402</v>
      </c>
      <c r="Q296" s="29" t="n">
        <v>0.1518</v>
      </c>
      <c r="R296" s="30" t="n">
        <v>72</v>
      </c>
    </row>
    <row r="297">
      <c r="A297" t="inlineStr">
        <is>
          <t>MT</t>
        </is>
      </c>
      <c r="B297" t="n">
        <v>2020</v>
      </c>
      <c r="C297" s="21" t="n">
        <v>248868</v>
      </c>
      <c r="D297" s="22" t="n">
        <v>1.348202409</v>
      </c>
      <c r="E297" s="15" t="n">
        <v>7692.67</v>
      </c>
      <c r="F297" s="23" t="n">
        <v>0.251</v>
      </c>
      <c r="G297" s="23" t="n">
        <v>0.3154</v>
      </c>
      <c r="H297" s="23" t="n">
        <v>0.0659</v>
      </c>
      <c r="I297" s="23" t="n">
        <v>0.0895</v>
      </c>
      <c r="J297" s="23" t="n">
        <v>0.0251</v>
      </c>
      <c r="K297" s="23" t="n">
        <v>0.0194</v>
      </c>
      <c r="L297" s="23" t="n">
        <v>0.0451</v>
      </c>
      <c r="M297" s="23" t="n">
        <v>0.0298</v>
      </c>
      <c r="N297" s="21" t="n">
        <v>169.7554</v>
      </c>
      <c r="O297" s="21" t="n">
        <v>470.5349</v>
      </c>
      <c r="P297" s="23" t="n">
        <v>0.1362</v>
      </c>
      <c r="Q297" s="23" t="n">
        <v>0.1445</v>
      </c>
      <c r="R297" s="24" t="n">
        <v>72</v>
      </c>
    </row>
    <row r="298">
      <c r="A298" s="25" t="inlineStr">
        <is>
          <t>MT</t>
        </is>
      </c>
      <c r="B298" s="25" t="n">
        <v>2021</v>
      </c>
      <c r="C298" s="26" t="n">
        <v>255443</v>
      </c>
      <c r="D298" s="27" t="n">
        <v>1.460721247</v>
      </c>
      <c r="E298" s="28" t="n">
        <v>8420.549999999999</v>
      </c>
      <c r="F298" s="29" t="n">
        <v>0.2378</v>
      </c>
      <c r="G298" s="29" t="n">
        <v>0.3345</v>
      </c>
      <c r="H298" s="29" t="n">
        <v>0.0736</v>
      </c>
      <c r="I298" s="29" t="n">
        <v>0.08309999999999999</v>
      </c>
      <c r="J298" s="29" t="n">
        <v>0.0246</v>
      </c>
      <c r="K298" s="29" t="n">
        <v>0.0175</v>
      </c>
      <c r="L298" s="29" t="n">
        <v>0.0438</v>
      </c>
      <c r="M298" s="29" t="n">
        <v>0.0264</v>
      </c>
      <c r="N298" s="26" t="n">
        <v>167.3594</v>
      </c>
      <c r="O298" s="26" t="n">
        <v>501.6689</v>
      </c>
      <c r="P298" s="29" t="n">
        <v>0.1424</v>
      </c>
      <c r="Q298" s="29" t="n">
        <v>0.1395</v>
      </c>
      <c r="R298" s="30" t="n">
        <v>72</v>
      </c>
    </row>
    <row r="299">
      <c r="A299" t="inlineStr">
        <is>
          <t>MT</t>
        </is>
      </c>
      <c r="B299" t="n">
        <v>2022</v>
      </c>
      <c r="C299" s="21" t="n">
        <v>261373</v>
      </c>
      <c r="D299" s="22" t="n">
        <v>1.464027283</v>
      </c>
      <c r="E299" s="15" t="n">
        <v>8554.16</v>
      </c>
      <c r="F299" s="23" t="n">
        <v>0.228</v>
      </c>
      <c r="G299" s="23" t="n">
        <v>0.3444</v>
      </c>
      <c r="H299" s="23" t="n">
        <v>0.0722</v>
      </c>
      <c r="I299" s="23" t="n">
        <v>0.0788</v>
      </c>
      <c r="J299" s="23" t="n">
        <v>0.0262</v>
      </c>
      <c r="K299" s="23" t="n">
        <v>0.017</v>
      </c>
      <c r="L299" s="23" t="n">
        <v>0.0443</v>
      </c>
      <c r="M299" s="23" t="n">
        <v>0.0268</v>
      </c>
      <c r="N299" s="21" t="n">
        <v>158.956</v>
      </c>
      <c r="O299" s="21" t="n">
        <v>507.0115</v>
      </c>
      <c r="P299" s="23" t="n">
        <v>0.1388</v>
      </c>
      <c r="Q299" s="23" t="n">
        <v>0.1358</v>
      </c>
      <c r="R299" s="24" t="n">
        <v>72</v>
      </c>
    </row>
    <row r="300">
      <c r="A300" s="25" t="inlineStr">
        <is>
          <t>MT</t>
        </is>
      </c>
      <c r="B300" s="25" t="n">
        <v>2023</v>
      </c>
      <c r="C300" s="26" t="n">
        <v>267343</v>
      </c>
      <c r="D300" s="27" t="n">
        <v>1.552784631</v>
      </c>
      <c r="E300" s="28" t="n">
        <v>9197.82</v>
      </c>
      <c r="F300" s="29" t="n">
        <v>0.2152</v>
      </c>
      <c r="G300" s="29" t="n">
        <v>0.345</v>
      </c>
      <c r="H300" s="29" t="n">
        <v>0.06950000000000001</v>
      </c>
      <c r="I300" s="29" t="n">
        <v>0.08069999999999999</v>
      </c>
      <c r="J300" s="29" t="n">
        <v>0.0348</v>
      </c>
      <c r="K300" s="29" t="n">
        <v>0.0156</v>
      </c>
      <c r="L300" s="29" t="n">
        <v>0.0435</v>
      </c>
      <c r="M300" s="29" t="n">
        <v>0.0249</v>
      </c>
      <c r="N300" s="26" t="n">
        <v>157.7351</v>
      </c>
      <c r="O300" s="26" t="n">
        <v>506.5187</v>
      </c>
      <c r="P300" s="29" t="n">
        <v>0.1433</v>
      </c>
      <c r="Q300" s="29" t="n">
        <v>0.1299</v>
      </c>
      <c r="R300" s="30" t="n">
        <v>73</v>
      </c>
    </row>
    <row r="301">
      <c r="A301" t="inlineStr">
        <is>
          <t>MT</t>
        </is>
      </c>
      <c r="B301" t="n">
        <v>2024</v>
      </c>
      <c r="C301" s="21" t="n">
        <v>273522</v>
      </c>
      <c r="D301" s="22" t="n">
        <v>1.678245719</v>
      </c>
      <c r="E301" s="15" t="n">
        <v>10030.76</v>
      </c>
      <c r="F301" s="23" t="n">
        <v>0.2104</v>
      </c>
      <c r="G301" s="23" t="n">
        <v>0.3404</v>
      </c>
      <c r="H301" s="23" t="n">
        <v>0.066</v>
      </c>
      <c r="I301" s="23" t="n">
        <v>0.08210000000000001</v>
      </c>
      <c r="J301" s="23" t="n">
        <v>0.0457</v>
      </c>
      <c r="K301" s="23" t="n">
        <v>0.0145</v>
      </c>
      <c r="L301" s="23" t="n">
        <v>0.0403</v>
      </c>
      <c r="M301" s="23" t="n">
        <v>0.0249</v>
      </c>
      <c r="N301" s="21" t="n">
        <v>162.1481</v>
      </c>
      <c r="O301" s="21" t="n">
        <v>513.8246</v>
      </c>
      <c r="P301" s="23" t="n">
        <v>0.1506</v>
      </c>
      <c r="Q301" s="23" t="n">
        <v>0.1058</v>
      </c>
      <c r="R301" s="24" t="n">
        <v>73</v>
      </c>
    </row>
    <row r="302">
      <c r="A302" s="25" t="inlineStr">
        <is>
          <t>NC</t>
        </is>
      </c>
      <c r="B302" s="25" t="n">
        <v>2014</v>
      </c>
      <c r="C302" s="26" t="n">
        <v>1804276</v>
      </c>
      <c r="D302" s="27" t="n">
        <v>10.133593765</v>
      </c>
      <c r="E302" s="28" t="n">
        <v>8697.620000000001</v>
      </c>
      <c r="F302" s="29" t="n">
        <v>0.2908</v>
      </c>
      <c r="G302" s="29" t="n">
        <v>0.1532</v>
      </c>
      <c r="H302" s="29" t="n">
        <v>0.1054</v>
      </c>
      <c r="I302" s="29" t="n">
        <v>0.0813</v>
      </c>
      <c r="J302" s="29" t="n">
        <v>0.0292</v>
      </c>
      <c r="K302" s="29" t="n">
        <v>0.0433</v>
      </c>
      <c r="L302" s="29" t="n">
        <v>0.0533</v>
      </c>
      <c r="M302" s="29" t="n">
        <v>0.036</v>
      </c>
      <c r="N302" s="26" t="n">
        <v>273.0197</v>
      </c>
      <c r="O302" s="26" t="n">
        <v>743.2467</v>
      </c>
      <c r="P302" s="29" t="n">
        <v>0.1764</v>
      </c>
      <c r="Q302" s="29" t="n">
        <v>0.2347</v>
      </c>
      <c r="R302" s="30" t="n">
        <v>70</v>
      </c>
    </row>
    <row r="303">
      <c r="A303" t="inlineStr">
        <is>
          <t>NC</t>
        </is>
      </c>
      <c r="B303" t="n">
        <v>2015</v>
      </c>
      <c r="C303" s="21" t="n">
        <v>1858180</v>
      </c>
      <c r="D303" s="22" t="n">
        <v>10.613399438</v>
      </c>
      <c r="E303" s="15" t="n">
        <v>9048.27</v>
      </c>
      <c r="F303" s="23" t="n">
        <v>0.2836</v>
      </c>
      <c r="G303" s="23" t="n">
        <v>0.1569</v>
      </c>
      <c r="H303" s="23" t="n">
        <v>0.1062</v>
      </c>
      <c r="I303" s="23" t="n">
        <v>0.0798</v>
      </c>
      <c r="J303" s="23" t="n">
        <v>0.0294</v>
      </c>
      <c r="K303" s="23" t="n">
        <v>0.0449</v>
      </c>
      <c r="L303" s="23" t="n">
        <v>0.0529</v>
      </c>
      <c r="M303" s="23" t="n">
        <v>0.0366</v>
      </c>
      <c r="N303" s="21" t="n">
        <v>271.3613</v>
      </c>
      <c r="O303" s="21" t="n">
        <v>758.6266000000001</v>
      </c>
      <c r="P303" s="23" t="n">
        <v>0.1762</v>
      </c>
      <c r="Q303" s="23" t="n">
        <v>0.2289</v>
      </c>
      <c r="R303" s="24" t="n">
        <v>70</v>
      </c>
    </row>
    <row r="304">
      <c r="A304" s="25" t="inlineStr">
        <is>
          <t>NC</t>
        </is>
      </c>
      <c r="B304" s="25" t="n">
        <v>2016</v>
      </c>
      <c r="C304" s="26" t="n">
        <v>1909894</v>
      </c>
      <c r="D304" s="27" t="n">
        <v>10.74361797</v>
      </c>
      <c r="E304" s="28" t="n">
        <v>9064.940000000001</v>
      </c>
      <c r="F304" s="29" t="n">
        <v>0.2846</v>
      </c>
      <c r="G304" s="29" t="n">
        <v>0.1664</v>
      </c>
      <c r="H304" s="29" t="n">
        <v>0.1033</v>
      </c>
      <c r="I304" s="29" t="n">
        <v>0.0759</v>
      </c>
      <c r="J304" s="29" t="n">
        <v>0.0242</v>
      </c>
      <c r="K304" s="29" t="n">
        <v>0.046</v>
      </c>
      <c r="L304" s="29" t="n">
        <v>0.0531</v>
      </c>
      <c r="M304" s="29" t="n">
        <v>0.0377</v>
      </c>
      <c r="N304" s="26" t="n">
        <v>263.8462</v>
      </c>
      <c r="O304" s="26" t="n">
        <v>757.5033</v>
      </c>
      <c r="P304" s="29" t="n">
        <v>0.1741</v>
      </c>
      <c r="Q304" s="29" t="n">
        <v>0.2225</v>
      </c>
      <c r="R304" s="30" t="n">
        <v>71</v>
      </c>
    </row>
    <row r="305">
      <c r="A305" t="inlineStr">
        <is>
          <t>NC</t>
        </is>
      </c>
      <c r="B305" t="n">
        <v>2017</v>
      </c>
      <c r="C305" s="21" t="n">
        <v>1961846</v>
      </c>
      <c r="D305" s="22" t="n">
        <v>11.030215486</v>
      </c>
      <c r="E305" s="15" t="n">
        <v>9297.85</v>
      </c>
      <c r="F305" s="23" t="n">
        <v>0.2799</v>
      </c>
      <c r="G305" s="23" t="n">
        <v>0.1769</v>
      </c>
      <c r="H305" s="23" t="n">
        <v>0.1022</v>
      </c>
      <c r="I305" s="23" t="n">
        <v>0.0721</v>
      </c>
      <c r="J305" s="23" t="n">
        <v>0.023</v>
      </c>
      <c r="K305" s="23" t="n">
        <v>0.0466</v>
      </c>
      <c r="L305" s="23" t="n">
        <v>0.0521</v>
      </c>
      <c r="M305" s="23" t="n">
        <v>0.0369</v>
      </c>
      <c r="N305" s="21" t="n">
        <v>263.457</v>
      </c>
      <c r="O305" s="21" t="n">
        <v>755.3751999999999</v>
      </c>
      <c r="P305" s="23" t="n">
        <v>0.1753</v>
      </c>
      <c r="Q305" s="23" t="n">
        <v>0.219</v>
      </c>
      <c r="R305" s="24" t="n">
        <v>71</v>
      </c>
    </row>
    <row r="306">
      <c r="A306" s="25" t="inlineStr">
        <is>
          <t>NC</t>
        </is>
      </c>
      <c r="B306" s="25" t="n">
        <v>2018</v>
      </c>
      <c r="C306" s="26" t="n">
        <v>2021544</v>
      </c>
      <c r="D306" s="27" t="n">
        <v>11.120803625</v>
      </c>
      <c r="E306" s="28" t="n">
        <v>9575.879999999999</v>
      </c>
      <c r="F306" s="29" t="n">
        <v>0.273</v>
      </c>
      <c r="G306" s="29" t="n">
        <v>0.186</v>
      </c>
      <c r="H306" s="29" t="n">
        <v>0.1001</v>
      </c>
      <c r="I306" s="29" t="n">
        <v>0.068</v>
      </c>
      <c r="J306" s="29" t="n">
        <v>0.0245</v>
      </c>
      <c r="K306" s="29" t="n">
        <v>0.0453</v>
      </c>
      <c r="L306" s="29" t="n">
        <v>0.0512</v>
      </c>
      <c r="M306" s="29" t="n">
        <v>0.0367</v>
      </c>
      <c r="N306" s="26" t="n">
        <v>257.4262</v>
      </c>
      <c r="O306" s="26" t="n">
        <v>722.4642</v>
      </c>
      <c r="P306" s="29" t="n">
        <v>0.1769</v>
      </c>
      <c r="Q306" s="29" t="n">
        <v>0.2009</v>
      </c>
      <c r="R306" s="30" t="n">
        <v>71</v>
      </c>
    </row>
    <row r="307">
      <c r="A307" t="inlineStr">
        <is>
          <t>NC</t>
        </is>
      </c>
      <c r="B307" t="n">
        <v>2019</v>
      </c>
      <c r="C307" s="21" t="n">
        <v>2077183</v>
      </c>
      <c r="D307" s="22" t="n">
        <v>11.22855208</v>
      </c>
      <c r="E307" s="15" t="n">
        <v>9871.33</v>
      </c>
      <c r="F307" s="23" t="n">
        <v>0.2672</v>
      </c>
      <c r="G307" s="23" t="n">
        <v>0.1884</v>
      </c>
      <c r="H307" s="23" t="n">
        <v>0.1002</v>
      </c>
      <c r="I307" s="23" t="n">
        <v>0.0664</v>
      </c>
      <c r="J307" s="23" t="n">
        <v>0.0238</v>
      </c>
      <c r="K307" s="23" t="n">
        <v>0.0441</v>
      </c>
      <c r="L307" s="23" t="n">
        <v>0.0524</v>
      </c>
      <c r="M307" s="23" t="n">
        <v>0.0386</v>
      </c>
      <c r="N307" s="21" t="n">
        <v>255.3778</v>
      </c>
      <c r="O307" s="21" t="n">
        <v>708.3176999999999</v>
      </c>
      <c r="P307" s="23" t="n">
        <v>0.1767</v>
      </c>
      <c r="Q307" s="23" t="n">
        <v>0.1867</v>
      </c>
      <c r="R307" s="24" t="n">
        <v>71</v>
      </c>
    </row>
    <row r="308">
      <c r="A308" s="25" t="inlineStr">
        <is>
          <t>NC</t>
        </is>
      </c>
      <c r="B308" s="25" t="n">
        <v>2020</v>
      </c>
      <c r="C308" s="26" t="n">
        <v>2130073</v>
      </c>
      <c r="D308" s="27" t="n">
        <v>10.44424978</v>
      </c>
      <c r="E308" s="28" t="n">
        <v>9482.299999999999</v>
      </c>
      <c r="F308" s="29" t="n">
        <v>0.2594</v>
      </c>
      <c r="G308" s="29" t="n">
        <v>0.1872</v>
      </c>
      <c r="H308" s="29" t="n">
        <v>0.0949</v>
      </c>
      <c r="I308" s="29" t="n">
        <v>0.0687</v>
      </c>
      <c r="J308" s="29" t="n">
        <v>0.0262</v>
      </c>
      <c r="K308" s="29" t="n">
        <v>0.0445</v>
      </c>
      <c r="L308" s="29" t="n">
        <v>0.049</v>
      </c>
      <c r="M308" s="29" t="n">
        <v>0.0423</v>
      </c>
      <c r="N308" s="26" t="n">
        <v>218.538</v>
      </c>
      <c r="O308" s="26" t="n">
        <v>563.2064</v>
      </c>
      <c r="P308" s="29" t="n">
        <v>0.1759</v>
      </c>
      <c r="Q308" s="29" t="n">
        <v>0.1715</v>
      </c>
      <c r="R308" s="30" t="n">
        <v>71</v>
      </c>
    </row>
    <row r="309">
      <c r="A309" t="inlineStr">
        <is>
          <t>NC</t>
        </is>
      </c>
      <c r="B309" t="n">
        <v>2021</v>
      </c>
      <c r="C309" s="21" t="n">
        <v>2177549</v>
      </c>
      <c r="D309" s="22" t="n">
        <v>10.320580895</v>
      </c>
      <c r="E309" s="15" t="n">
        <v>10010.57</v>
      </c>
      <c r="F309" s="23" t="n">
        <v>0.2471</v>
      </c>
      <c r="G309" s="23" t="n">
        <v>0.1988</v>
      </c>
      <c r="H309" s="23" t="n">
        <v>0.1051</v>
      </c>
      <c r="I309" s="23" t="n">
        <v>0.065</v>
      </c>
      <c r="J309" s="23" t="n">
        <v>0.0261</v>
      </c>
      <c r="K309" s="23" t="n">
        <v>0.0423</v>
      </c>
      <c r="L309" s="23" t="n">
        <v>0.0494</v>
      </c>
      <c r="M309" s="23" t="n">
        <v>0.0408</v>
      </c>
      <c r="N309" s="21" t="n">
        <v>208.4973</v>
      </c>
      <c r="O309" s="21" t="n">
        <v>563.518</v>
      </c>
      <c r="P309" s="23" t="n">
        <v>0.1742</v>
      </c>
      <c r="Q309" s="23" t="n">
        <v>0.1556</v>
      </c>
      <c r="R309" s="24" t="n">
        <v>72</v>
      </c>
    </row>
    <row r="310">
      <c r="A310" s="25" t="inlineStr">
        <is>
          <t>NC</t>
        </is>
      </c>
      <c r="B310" s="25" t="n">
        <v>2022</v>
      </c>
      <c r="C310" s="26" t="n">
        <v>2224649</v>
      </c>
      <c r="D310" s="27" t="n">
        <v>9.817332259000001</v>
      </c>
      <c r="E310" s="28" t="n">
        <v>10159.19</v>
      </c>
      <c r="F310" s="29" t="n">
        <v>0.2413</v>
      </c>
      <c r="G310" s="29" t="n">
        <v>0.2036</v>
      </c>
      <c r="H310" s="29" t="n">
        <v>0.1043</v>
      </c>
      <c r="I310" s="29" t="n">
        <v>0.0675</v>
      </c>
      <c r="J310" s="29" t="n">
        <v>0.0272</v>
      </c>
      <c r="K310" s="29" t="n">
        <v>0.0417</v>
      </c>
      <c r="L310" s="29" t="n">
        <v>0.0487</v>
      </c>
      <c r="M310" s="29" t="n">
        <v>0.0417</v>
      </c>
      <c r="N310" s="26" t="n">
        <v>202.9927</v>
      </c>
      <c r="O310" s="26" t="n">
        <v>563.9727</v>
      </c>
      <c r="P310" s="29" t="n">
        <v>0.168</v>
      </c>
      <c r="Q310" s="29" t="n">
        <v>0.1409</v>
      </c>
      <c r="R310" s="30" t="n">
        <v>72</v>
      </c>
    </row>
    <row r="311">
      <c r="A311" t="inlineStr">
        <is>
          <t>NC</t>
        </is>
      </c>
      <c r="B311" t="n">
        <v>2023</v>
      </c>
      <c r="C311" s="21" t="n">
        <v>2273250</v>
      </c>
      <c r="D311" s="22" t="n">
        <v>9.753452246</v>
      </c>
      <c r="E311" s="15" t="n">
        <v>10890.51</v>
      </c>
      <c r="F311" s="23" t="n">
        <v>0.2316</v>
      </c>
      <c r="G311" s="23" t="n">
        <v>0.2053</v>
      </c>
      <c r="H311" s="23" t="n">
        <v>0.1007</v>
      </c>
      <c r="I311" s="23" t="n">
        <v>0.0625</v>
      </c>
      <c r="J311" s="23" t="n">
        <v>0.045</v>
      </c>
      <c r="K311" s="23" t="n">
        <v>0.0395</v>
      </c>
      <c r="L311" s="23" t="n">
        <v>0.0467</v>
      </c>
      <c r="M311" s="23" t="n">
        <v>0.0423</v>
      </c>
      <c r="N311" s="21" t="n">
        <v>207.3556</v>
      </c>
      <c r="O311" s="21" t="n">
        <v>565.0207</v>
      </c>
      <c r="P311" s="23" t="n">
        <v>0.1675</v>
      </c>
      <c r="Q311" s="23" t="n">
        <v>0.1257</v>
      </c>
      <c r="R311" s="24" t="n">
        <v>73</v>
      </c>
    </row>
    <row r="312">
      <c r="A312" s="25" t="inlineStr">
        <is>
          <t>NC</t>
        </is>
      </c>
      <c r="B312" s="25" t="n">
        <v>2024</v>
      </c>
      <c r="C312" s="26" t="n">
        <v>2328240</v>
      </c>
      <c r="D312" s="27" t="n">
        <v>9.730602175</v>
      </c>
      <c r="E312" s="28" t="n">
        <v>11361.31</v>
      </c>
      <c r="F312" s="29" t="n">
        <v>0.2301</v>
      </c>
      <c r="G312" s="29" t="n">
        <v>0.21</v>
      </c>
      <c r="H312" s="29" t="n">
        <v>0.0998</v>
      </c>
      <c r="I312" s="29" t="n">
        <v>0.0626</v>
      </c>
      <c r="J312" s="29" t="n">
        <v>0.0437</v>
      </c>
      <c r="K312" s="29" t="n">
        <v>0.038</v>
      </c>
      <c r="L312" s="29" t="n">
        <v>0.0452</v>
      </c>
      <c r="M312" s="29" t="n">
        <v>0.0437</v>
      </c>
      <c r="N312" s="26" t="n">
        <v>211.7055</v>
      </c>
      <c r="O312" s="26" t="n">
        <v>567.7644</v>
      </c>
      <c r="P312" s="29" t="n">
        <v>0.1715</v>
      </c>
      <c r="Q312" s="29" t="n">
        <v>0.1126</v>
      </c>
      <c r="R312" s="30" t="n">
        <v>73</v>
      </c>
    </row>
    <row r="313">
      <c r="A313" t="inlineStr">
        <is>
          <t>ND</t>
        </is>
      </c>
      <c r="B313" t="n">
        <v>2014</v>
      </c>
      <c r="C313" s="21" t="n">
        <v>121804</v>
      </c>
      <c r="D313" s="22" t="n">
        <v>0.734651555</v>
      </c>
      <c r="E313" s="15" t="n">
        <v>7982.74</v>
      </c>
      <c r="F313" s="23" t="n">
        <v>0.2938</v>
      </c>
      <c r="G313" s="23" t="n">
        <v>0.2557</v>
      </c>
      <c r="H313" s="23" t="n">
        <v>0.07580000000000001</v>
      </c>
      <c r="I313" s="23" t="n">
        <v>0.1123</v>
      </c>
      <c r="J313" s="23" t="n">
        <v>0.0241</v>
      </c>
      <c r="K313" s="23" t="n">
        <v>0.0141</v>
      </c>
      <c r="L313" s="23" t="n">
        <v>0.0454</v>
      </c>
      <c r="M313" s="23" t="n">
        <v>0.0175</v>
      </c>
      <c r="N313" s="21" t="n">
        <v>248.2886</v>
      </c>
      <c r="O313" s="21" t="n">
        <v>580.4955</v>
      </c>
      <c r="P313" s="23" t="n">
        <v>0.1543</v>
      </c>
      <c r="Q313" s="23" t="n">
        <v>0.1578</v>
      </c>
      <c r="R313" s="24" t="n">
        <v>73</v>
      </c>
    </row>
    <row r="314">
      <c r="A314" s="25" t="inlineStr">
        <is>
          <t>ND</t>
        </is>
      </c>
      <c r="B314" s="25" t="n">
        <v>2015</v>
      </c>
      <c r="C314" s="26" t="n">
        <v>124193</v>
      </c>
      <c r="D314" s="27" t="n">
        <v>0.746359445</v>
      </c>
      <c r="E314" s="28" t="n">
        <v>8173.37</v>
      </c>
      <c r="F314" s="29" t="n">
        <v>0.2914</v>
      </c>
      <c r="G314" s="29" t="n">
        <v>0.2632</v>
      </c>
      <c r="H314" s="29" t="n">
        <v>0.076</v>
      </c>
      <c r="I314" s="29" t="n">
        <v>0.1056</v>
      </c>
      <c r="J314" s="29" t="n">
        <v>0.0251</v>
      </c>
      <c r="K314" s="29" t="n">
        <v>0.0158</v>
      </c>
      <c r="L314" s="29" t="n">
        <v>0.0448</v>
      </c>
      <c r="M314" s="29" t="n">
        <v>0.016</v>
      </c>
      <c r="N314" s="26" t="n">
        <v>248.8173</v>
      </c>
      <c r="O314" s="26" t="n">
        <v>594.1237</v>
      </c>
      <c r="P314" s="29" t="n">
        <v>0.1483</v>
      </c>
      <c r="Q314" s="29" t="n">
        <v>0.1567</v>
      </c>
      <c r="R314" s="30" t="n">
        <v>73</v>
      </c>
    </row>
    <row r="315">
      <c r="A315" t="inlineStr">
        <is>
          <t>ND</t>
        </is>
      </c>
      <c r="B315" t="n">
        <v>2016</v>
      </c>
      <c r="C315" s="21" t="n">
        <v>127083</v>
      </c>
      <c r="D315" s="22" t="n">
        <v>0.7488924689999999</v>
      </c>
      <c r="E315" s="15" t="n">
        <v>8319.360000000001</v>
      </c>
      <c r="F315" s="23" t="n">
        <v>0.2908</v>
      </c>
      <c r="G315" s="23" t="n">
        <v>0.2771</v>
      </c>
      <c r="H315" s="23" t="n">
        <v>0.0708</v>
      </c>
      <c r="I315" s="23" t="n">
        <v>0.1071</v>
      </c>
      <c r="J315" s="23" t="n">
        <v>0.0215</v>
      </c>
      <c r="K315" s="23" t="n">
        <v>0.015</v>
      </c>
      <c r="L315" s="23" t="n">
        <v>0.0439</v>
      </c>
      <c r="M315" s="23" t="n">
        <v>0.0161</v>
      </c>
      <c r="N315" s="21" t="n">
        <v>240.8629</v>
      </c>
      <c r="O315" s="21" t="n">
        <v>598.1026000000001</v>
      </c>
      <c r="P315" s="23" t="n">
        <v>0.158</v>
      </c>
      <c r="Q315" s="23" t="n">
        <v>0.1562</v>
      </c>
      <c r="R315" s="24" t="n">
        <v>73</v>
      </c>
    </row>
    <row r="316">
      <c r="A316" s="25" t="inlineStr">
        <is>
          <t>ND</t>
        </is>
      </c>
      <c r="B316" s="25" t="n">
        <v>2017</v>
      </c>
      <c r="C316" s="26" t="n">
        <v>130344</v>
      </c>
      <c r="D316" s="27" t="n">
        <v>0.809198447</v>
      </c>
      <c r="E316" s="28" t="n">
        <v>8672.24</v>
      </c>
      <c r="F316" s="29" t="n">
        <v>0.2918</v>
      </c>
      <c r="G316" s="29" t="n">
        <v>0.2897</v>
      </c>
      <c r="H316" s="29" t="n">
        <v>0.0693</v>
      </c>
      <c r="I316" s="29" t="n">
        <v>0.1036</v>
      </c>
      <c r="J316" s="29" t="n">
        <v>0.0183</v>
      </c>
      <c r="K316" s="29" t="n">
        <v>0.0149</v>
      </c>
      <c r="L316" s="29" t="n">
        <v>0.0423</v>
      </c>
      <c r="M316" s="29" t="n">
        <v>0.0161</v>
      </c>
      <c r="N316" s="26" t="n">
        <v>245.9463</v>
      </c>
      <c r="O316" s="26" t="n">
        <v>597.37</v>
      </c>
      <c r="P316" s="29" t="n">
        <v>0.163</v>
      </c>
      <c r="Q316" s="29" t="n">
        <v>0.1498</v>
      </c>
      <c r="R316" s="30" t="n">
        <v>73</v>
      </c>
    </row>
    <row r="317">
      <c r="A317" t="inlineStr">
        <is>
          <t>ND</t>
        </is>
      </c>
      <c r="B317" t="n">
        <v>2018</v>
      </c>
      <c r="C317" s="21" t="n">
        <v>134192</v>
      </c>
      <c r="D317" s="22" t="n">
        <v>0.850685468</v>
      </c>
      <c r="E317" s="15" t="n">
        <v>8826.74</v>
      </c>
      <c r="F317" s="23" t="n">
        <v>0.2719</v>
      </c>
      <c r="G317" s="23" t="n">
        <v>0.3107</v>
      </c>
      <c r="H317" s="23" t="n">
        <v>0.0679</v>
      </c>
      <c r="I317" s="23" t="n">
        <v>0.1014</v>
      </c>
      <c r="J317" s="23" t="n">
        <v>0.018</v>
      </c>
      <c r="K317" s="23" t="n">
        <v>0.014</v>
      </c>
      <c r="L317" s="23" t="n">
        <v>0.0423</v>
      </c>
      <c r="M317" s="23" t="n">
        <v>0.0177</v>
      </c>
      <c r="N317" s="21" t="n">
        <v>231.1156</v>
      </c>
      <c r="O317" s="21" t="n">
        <v>578.9719</v>
      </c>
      <c r="P317" s="23" t="n">
        <v>0.1627</v>
      </c>
      <c r="Q317" s="23" t="n">
        <v>0.1453</v>
      </c>
      <c r="R317" s="24" t="n">
        <v>73</v>
      </c>
    </row>
    <row r="318">
      <c r="A318" s="25" t="inlineStr">
        <is>
          <t>ND</t>
        </is>
      </c>
      <c r="B318" s="25" t="n">
        <v>2019</v>
      </c>
      <c r="C318" s="26" t="n">
        <v>137782</v>
      </c>
      <c r="D318" s="27" t="n">
        <v>0.877770983</v>
      </c>
      <c r="E318" s="28" t="n">
        <v>8929.870000000001</v>
      </c>
      <c r="F318" s="29" t="n">
        <v>0.2722</v>
      </c>
      <c r="G318" s="29" t="n">
        <v>0.3033</v>
      </c>
      <c r="H318" s="29" t="n">
        <v>0.06809999999999999</v>
      </c>
      <c r="I318" s="29" t="n">
        <v>0.0988</v>
      </c>
      <c r="J318" s="29" t="n">
        <v>0.0193</v>
      </c>
      <c r="K318" s="29" t="n">
        <v>0.0137</v>
      </c>
      <c r="L318" s="29" t="n">
        <v>0.042</v>
      </c>
      <c r="M318" s="29" t="n">
        <v>0.0211</v>
      </c>
      <c r="N318" s="26" t="n">
        <v>226.7742</v>
      </c>
      <c r="O318" s="26" t="n">
        <v>559.1275000000001</v>
      </c>
      <c r="P318" s="29" t="n">
        <v>0.1639</v>
      </c>
      <c r="Q318" s="29" t="n">
        <v>0.1418</v>
      </c>
      <c r="R318" s="30" t="n">
        <v>73</v>
      </c>
    </row>
    <row r="319">
      <c r="A319" t="inlineStr">
        <is>
          <t>ND</t>
        </is>
      </c>
      <c r="B319" t="n">
        <v>2020</v>
      </c>
      <c r="C319" s="21" t="n">
        <v>141287</v>
      </c>
      <c r="D319" s="22" t="n">
        <v>0.878454831</v>
      </c>
      <c r="E319" s="15" t="n">
        <v>8909.549999999999</v>
      </c>
      <c r="F319" s="23" t="n">
        <v>0.2656</v>
      </c>
      <c r="G319" s="23" t="n">
        <v>0.3017</v>
      </c>
      <c r="H319" s="23" t="n">
        <v>0.0631</v>
      </c>
      <c r="I319" s="23" t="n">
        <v>0.1074</v>
      </c>
      <c r="J319" s="23" t="n">
        <v>0.022</v>
      </c>
      <c r="K319" s="23" t="n">
        <v>0.0156</v>
      </c>
      <c r="L319" s="23" t="n">
        <v>0.0379</v>
      </c>
      <c r="M319" s="23" t="n">
        <v>0.0225</v>
      </c>
      <c r="N319" s="21" t="n">
        <v>204.6005</v>
      </c>
      <c r="O319" s="21" t="n">
        <v>499.356</v>
      </c>
      <c r="P319" s="23" t="n">
        <v>0.1634</v>
      </c>
      <c r="Q319" s="23" t="n">
        <v>0.1402</v>
      </c>
      <c r="R319" s="24" t="n">
        <v>72</v>
      </c>
    </row>
    <row r="320">
      <c r="A320" s="25" t="inlineStr">
        <is>
          <t>ND</t>
        </is>
      </c>
      <c r="B320" s="25" t="n">
        <v>2021</v>
      </c>
      <c r="C320" s="26" t="n">
        <v>143798</v>
      </c>
      <c r="D320" s="27" t="n">
        <v>0.936413601</v>
      </c>
      <c r="E320" s="28" t="n">
        <v>9720.09</v>
      </c>
      <c r="F320" s="29" t="n">
        <v>0.2451</v>
      </c>
      <c r="G320" s="29" t="n">
        <v>0.325</v>
      </c>
      <c r="H320" s="29" t="n">
        <v>0.0693</v>
      </c>
      <c r="I320" s="29" t="n">
        <v>0.0999</v>
      </c>
      <c r="J320" s="29" t="n">
        <v>0.0216</v>
      </c>
      <c r="K320" s="29" t="n">
        <v>0.0165</v>
      </c>
      <c r="L320" s="29" t="n">
        <v>0.0375</v>
      </c>
      <c r="M320" s="29" t="n">
        <v>0.021</v>
      </c>
      <c r="N320" s="26" t="n">
        <v>197.7205</v>
      </c>
      <c r="O320" s="26" t="n">
        <v>521.6529</v>
      </c>
      <c r="P320" s="29" t="n">
        <v>0.1599</v>
      </c>
      <c r="Q320" s="29" t="n">
        <v>0.1392</v>
      </c>
      <c r="R320" s="30" t="n">
        <v>72</v>
      </c>
    </row>
    <row r="321">
      <c r="A321" t="inlineStr">
        <is>
          <t>ND</t>
        </is>
      </c>
      <c r="B321" t="n">
        <v>2022</v>
      </c>
      <c r="C321" s="21" t="n">
        <v>147448</v>
      </c>
      <c r="D321" s="22" t="n">
        <v>0.9238732039999999</v>
      </c>
      <c r="E321" s="15" t="n">
        <v>9931.98</v>
      </c>
      <c r="F321" s="23" t="n">
        <v>0.2413</v>
      </c>
      <c r="G321" s="23" t="n">
        <v>0.3277</v>
      </c>
      <c r="H321" s="23" t="n">
        <v>0.067</v>
      </c>
      <c r="I321" s="23" t="n">
        <v>0.0982</v>
      </c>
      <c r="J321" s="23" t="n">
        <v>0.0233</v>
      </c>
      <c r="K321" s="23" t="n">
        <v>0.0154</v>
      </c>
      <c r="L321" s="23" t="n">
        <v>0.0363</v>
      </c>
      <c r="M321" s="23" t="n">
        <v>0.0207</v>
      </c>
      <c r="N321" s="21" t="n">
        <v>197.4092</v>
      </c>
      <c r="O321" s="21" t="n">
        <v>544.5925999999999</v>
      </c>
      <c r="P321" s="23" t="n">
        <v>0.1639</v>
      </c>
      <c r="Q321" s="23" t="n">
        <v>0.1399</v>
      </c>
      <c r="R321" s="24" t="n">
        <v>73</v>
      </c>
    </row>
    <row r="322">
      <c r="A322" s="25" t="inlineStr">
        <is>
          <t>ND</t>
        </is>
      </c>
      <c r="B322" s="25" t="n">
        <v>2023</v>
      </c>
      <c r="C322" s="26" t="n">
        <v>150975</v>
      </c>
      <c r="D322" s="27" t="n">
        <v>0.938185645</v>
      </c>
      <c r="E322" s="28" t="n">
        <v>10602.41</v>
      </c>
      <c r="F322" s="29" t="n">
        <v>0.2286</v>
      </c>
      <c r="G322" s="29" t="n">
        <v>0.3265</v>
      </c>
      <c r="H322" s="29" t="n">
        <v>0.06510000000000001</v>
      </c>
      <c r="I322" s="29" t="n">
        <v>0.1001</v>
      </c>
      <c r="J322" s="29" t="n">
        <v>0.029</v>
      </c>
      <c r="K322" s="29" t="n">
        <v>0.015</v>
      </c>
      <c r="L322" s="29" t="n">
        <v>0.0343</v>
      </c>
      <c r="M322" s="29" t="n">
        <v>0.0212</v>
      </c>
      <c r="N322" s="26" t="n">
        <v>197.3036</v>
      </c>
      <c r="O322" s="26" t="n">
        <v>541.5311</v>
      </c>
      <c r="P322" s="29" t="n">
        <v>0.1616</v>
      </c>
      <c r="Q322" s="29" t="n">
        <v>0.1325</v>
      </c>
      <c r="R322" s="30" t="n">
        <v>73</v>
      </c>
    </row>
    <row r="323">
      <c r="A323" t="inlineStr">
        <is>
          <t>ND</t>
        </is>
      </c>
      <c r="B323" t="n">
        <v>2024</v>
      </c>
      <c r="C323" s="21" t="n">
        <v>154914</v>
      </c>
      <c r="D323" s="22" t="n">
        <v>0.97977099</v>
      </c>
      <c r="E323" s="15" t="n">
        <v>11351.5</v>
      </c>
      <c r="F323" s="23" t="n">
        <v>0.2281</v>
      </c>
      <c r="G323" s="23" t="n">
        <v>0.3308</v>
      </c>
      <c r="H323" s="23" t="n">
        <v>0.0639</v>
      </c>
      <c r="I323" s="23" t="n">
        <v>0.0983</v>
      </c>
      <c r="J323" s="23" t="n">
        <v>0.0255</v>
      </c>
      <c r="K323" s="23" t="n">
        <v>0.0137</v>
      </c>
      <c r="L323" s="23" t="n">
        <v>0.0331</v>
      </c>
      <c r="M323" s="23" t="n">
        <v>0.0222</v>
      </c>
      <c r="N323" s="21" t="n">
        <v>206.4603</v>
      </c>
      <c r="O323" s="21" t="n">
        <v>553.7816</v>
      </c>
      <c r="P323" s="23" t="n">
        <v>0.168</v>
      </c>
      <c r="Q323" s="23" t="n">
        <v>0.1234</v>
      </c>
      <c r="R323" s="24" t="n">
        <v>73</v>
      </c>
    </row>
    <row r="324">
      <c r="A324" s="25" t="inlineStr">
        <is>
          <t>NE</t>
        </is>
      </c>
      <c r="B324" s="25" t="n">
        <v>2014</v>
      </c>
      <c r="C324" s="26" t="n">
        <v>321670</v>
      </c>
      <c r="D324" s="27" t="n">
        <v>2.144636663</v>
      </c>
      <c r="E324" s="28" t="n">
        <v>8493.309999999999</v>
      </c>
      <c r="F324" s="29" t="n">
        <v>0.2766</v>
      </c>
      <c r="G324" s="29" t="n">
        <v>0.1795</v>
      </c>
      <c r="H324" s="29" t="n">
        <v>0.08210000000000001</v>
      </c>
      <c r="I324" s="29" t="n">
        <v>0.1245</v>
      </c>
      <c r="J324" s="29" t="n">
        <v>0.0269</v>
      </c>
      <c r="K324" s="29" t="n">
        <v>0.0306</v>
      </c>
      <c r="L324" s="29" t="n">
        <v>0.0498</v>
      </c>
      <c r="M324" s="29" t="n">
        <v>0.0317</v>
      </c>
      <c r="N324" s="26" t="n">
        <v>256.5968</v>
      </c>
      <c r="O324" s="26" t="n">
        <v>526.8327</v>
      </c>
      <c r="P324" s="29" t="n">
        <v>0.154</v>
      </c>
      <c r="Q324" s="29" t="n">
        <v>0.1555</v>
      </c>
      <c r="R324" s="30" t="n">
        <v>73</v>
      </c>
    </row>
    <row r="325">
      <c r="A325" t="inlineStr">
        <is>
          <t>NE</t>
        </is>
      </c>
      <c r="B325" t="n">
        <v>2015</v>
      </c>
      <c r="C325" s="21" t="n">
        <v>330288</v>
      </c>
      <c r="D325" s="22" t="n">
        <v>2.310096521</v>
      </c>
      <c r="E325" s="15" t="n">
        <v>8941.52</v>
      </c>
      <c r="F325" s="23" t="n">
        <v>0.2776</v>
      </c>
      <c r="G325" s="23" t="n">
        <v>0.1804</v>
      </c>
      <c r="H325" s="23" t="n">
        <v>0.0813</v>
      </c>
      <c r="I325" s="23" t="n">
        <v>0.1205</v>
      </c>
      <c r="J325" s="23" t="n">
        <v>0.0269</v>
      </c>
      <c r="K325" s="23" t="n">
        <v>0.0314</v>
      </c>
      <c r="L325" s="23" t="n">
        <v>0.0485</v>
      </c>
      <c r="M325" s="23" t="n">
        <v>0.0305</v>
      </c>
      <c r="N325" s="21" t="n">
        <v>265.0722</v>
      </c>
      <c r="O325" s="21" t="n">
        <v>546.2501</v>
      </c>
      <c r="P325" s="23" t="n">
        <v>0.1563</v>
      </c>
      <c r="Q325" s="23" t="n">
        <v>0.1516</v>
      </c>
      <c r="R325" s="24" t="n">
        <v>73</v>
      </c>
    </row>
    <row r="326">
      <c r="A326" s="25" t="inlineStr">
        <is>
          <t>NE</t>
        </is>
      </c>
      <c r="B326" s="25" t="n">
        <v>2016</v>
      </c>
      <c r="C326" s="26" t="n">
        <v>338038</v>
      </c>
      <c r="D326" s="27" t="n">
        <v>2.373534289</v>
      </c>
      <c r="E326" s="28" t="n">
        <v>9025.09</v>
      </c>
      <c r="F326" s="29" t="n">
        <v>0.2819</v>
      </c>
      <c r="G326" s="29" t="n">
        <v>0.1886</v>
      </c>
      <c r="H326" s="29" t="n">
        <v>0.0785</v>
      </c>
      <c r="I326" s="29" t="n">
        <v>0.1154</v>
      </c>
      <c r="J326" s="29" t="n">
        <v>0.0219</v>
      </c>
      <c r="K326" s="29" t="n">
        <v>0.0312</v>
      </c>
      <c r="L326" s="29" t="n">
        <v>0.0481</v>
      </c>
      <c r="M326" s="29" t="n">
        <v>0.0307</v>
      </c>
      <c r="N326" s="26" t="n">
        <v>254.9193</v>
      </c>
      <c r="O326" s="26" t="n">
        <v>551.2618</v>
      </c>
      <c r="P326" s="29" t="n">
        <v>0.1509</v>
      </c>
      <c r="Q326" s="29" t="n">
        <v>0.1467</v>
      </c>
      <c r="R326" s="30" t="n">
        <v>73</v>
      </c>
    </row>
    <row r="327">
      <c r="A327" t="inlineStr">
        <is>
          <t>NE</t>
        </is>
      </c>
      <c r="B327" t="n">
        <v>2017</v>
      </c>
      <c r="C327" s="21" t="n">
        <v>345867</v>
      </c>
      <c r="D327" s="22" t="n">
        <v>2.463596493</v>
      </c>
      <c r="E327" s="15" t="n">
        <v>9265.75</v>
      </c>
      <c r="F327" s="23" t="n">
        <v>0.2803</v>
      </c>
      <c r="G327" s="23" t="n">
        <v>0.1982</v>
      </c>
      <c r="H327" s="23" t="n">
        <v>0.0775</v>
      </c>
      <c r="I327" s="23" t="n">
        <v>0.1077</v>
      </c>
      <c r="J327" s="23" t="n">
        <v>0.0195</v>
      </c>
      <c r="K327" s="23" t="n">
        <v>0.0304</v>
      </c>
      <c r="L327" s="23" t="n">
        <v>0.0467</v>
      </c>
      <c r="M327" s="23" t="n">
        <v>0.0297</v>
      </c>
      <c r="N327" s="21" t="n">
        <v>258.0167</v>
      </c>
      <c r="O327" s="21" t="n">
        <v>553.8735</v>
      </c>
      <c r="P327" s="23" t="n">
        <v>0.1566</v>
      </c>
      <c r="Q327" s="23" t="n">
        <v>0.142</v>
      </c>
      <c r="R327" s="24" t="n">
        <v>73</v>
      </c>
    </row>
    <row r="328">
      <c r="A328" s="25" t="inlineStr">
        <is>
          <t>NE</t>
        </is>
      </c>
      <c r="B328" s="25" t="n">
        <v>2018</v>
      </c>
      <c r="C328" s="26" t="n">
        <v>354974</v>
      </c>
      <c r="D328" s="27" t="n">
        <v>2.559633506</v>
      </c>
      <c r="E328" s="28" t="n">
        <v>9618.889999999999</v>
      </c>
      <c r="F328" s="29" t="n">
        <v>0.2689</v>
      </c>
      <c r="G328" s="29" t="n">
        <v>0.2072</v>
      </c>
      <c r="H328" s="29" t="n">
        <v>0.07539999999999999</v>
      </c>
      <c r="I328" s="29" t="n">
        <v>0.1053</v>
      </c>
      <c r="J328" s="29" t="n">
        <v>0.0203</v>
      </c>
      <c r="K328" s="29" t="n">
        <v>0.0289</v>
      </c>
      <c r="L328" s="29" t="n">
        <v>0.0459</v>
      </c>
      <c r="M328" s="29" t="n">
        <v>0.0302</v>
      </c>
      <c r="N328" s="26" t="n">
        <v>251.4045</v>
      </c>
      <c r="O328" s="26" t="n">
        <v>535.8035</v>
      </c>
      <c r="P328" s="29" t="n">
        <v>0.1569</v>
      </c>
      <c r="Q328" s="29" t="n">
        <v>0.1279</v>
      </c>
      <c r="R328" s="30" t="n">
        <v>73</v>
      </c>
    </row>
    <row r="329">
      <c r="A329" t="inlineStr">
        <is>
          <t>NE</t>
        </is>
      </c>
      <c r="B329" t="n">
        <v>2019</v>
      </c>
      <c r="C329" s="21" t="n">
        <v>363021</v>
      </c>
      <c r="D329" s="22" t="n">
        <v>2.635635916</v>
      </c>
      <c r="E329" s="15" t="n">
        <v>9959.4</v>
      </c>
      <c r="F329" s="23" t="n">
        <v>0.26</v>
      </c>
      <c r="G329" s="23" t="n">
        <v>0.2126</v>
      </c>
      <c r="H329" s="23" t="n">
        <v>0.07480000000000001</v>
      </c>
      <c r="I329" s="23" t="n">
        <v>0.1023</v>
      </c>
      <c r="J329" s="23" t="n">
        <v>0.0212</v>
      </c>
      <c r="K329" s="23" t="n">
        <v>0.0289</v>
      </c>
      <c r="L329" s="23" t="n">
        <v>0.0465</v>
      </c>
      <c r="M329" s="23" t="n">
        <v>0.0311</v>
      </c>
      <c r="N329" s="21" t="n">
        <v>243.0339</v>
      </c>
      <c r="O329" s="21" t="n">
        <v>523.1448</v>
      </c>
      <c r="P329" s="23" t="n">
        <v>0.156</v>
      </c>
      <c r="Q329" s="23" t="n">
        <v>0.1183</v>
      </c>
      <c r="R329" s="24" t="n">
        <v>73</v>
      </c>
    </row>
    <row r="330">
      <c r="A330" s="25" t="inlineStr">
        <is>
          <t>NE</t>
        </is>
      </c>
      <c r="B330" s="25" t="n">
        <v>2020</v>
      </c>
      <c r="C330" s="26" t="n">
        <v>371073</v>
      </c>
      <c r="D330" s="27" t="n">
        <v>2.500436495</v>
      </c>
      <c r="E330" s="28" t="n">
        <v>9679.35</v>
      </c>
      <c r="F330" s="29" t="n">
        <v>0.2524</v>
      </c>
      <c r="G330" s="29" t="n">
        <v>0.2161</v>
      </c>
      <c r="H330" s="29" t="n">
        <v>0.07000000000000001</v>
      </c>
      <c r="I330" s="29" t="n">
        <v>0.1078</v>
      </c>
      <c r="J330" s="29" t="n">
        <v>0.0251</v>
      </c>
      <c r="K330" s="29" t="n">
        <v>0.0287</v>
      </c>
      <c r="L330" s="29" t="n">
        <v>0.0417</v>
      </c>
      <c r="M330" s="29" t="n">
        <v>0.0335</v>
      </c>
      <c r="N330" s="26" t="n">
        <v>208.6154</v>
      </c>
      <c r="O330" s="26" t="n">
        <v>452.7982</v>
      </c>
      <c r="P330" s="29" t="n">
        <v>0.1584</v>
      </c>
      <c r="Q330" s="29" t="n">
        <v>0.1125</v>
      </c>
      <c r="R330" s="30" t="n">
        <v>73</v>
      </c>
    </row>
    <row r="331">
      <c r="A331" t="inlineStr">
        <is>
          <t>NE</t>
        </is>
      </c>
      <c r="B331" t="n">
        <v>2021</v>
      </c>
      <c r="C331" s="21" t="n">
        <v>377514</v>
      </c>
      <c r="D331" s="22" t="n">
        <v>2.59027122</v>
      </c>
      <c r="E331" s="15" t="n">
        <v>10470.18</v>
      </c>
      <c r="F331" s="23" t="n">
        <v>0.2336</v>
      </c>
      <c r="G331" s="23" t="n">
        <v>0.242</v>
      </c>
      <c r="H331" s="23" t="n">
        <v>0.07679999999999999</v>
      </c>
      <c r="I331" s="23" t="n">
        <v>0.1021</v>
      </c>
      <c r="J331" s="23" t="n">
        <v>0.0246</v>
      </c>
      <c r="K331" s="23" t="n">
        <v>0.0269</v>
      </c>
      <c r="L331" s="23" t="n">
        <v>0.0427</v>
      </c>
      <c r="M331" s="23" t="n">
        <v>0.0294</v>
      </c>
      <c r="N331" s="21" t="n">
        <v>200.4851</v>
      </c>
      <c r="O331" s="21" t="n">
        <v>485.7818</v>
      </c>
      <c r="P331" s="23" t="n">
        <v>0.1525</v>
      </c>
      <c r="Q331" s="23" t="n">
        <v>0.11</v>
      </c>
      <c r="R331" s="24" t="n">
        <v>73</v>
      </c>
    </row>
    <row r="332">
      <c r="A332" s="25" t="inlineStr">
        <is>
          <t>NE</t>
        </is>
      </c>
      <c r="B332" s="25" t="n">
        <v>2022</v>
      </c>
      <c r="C332" s="26" t="n">
        <v>385640</v>
      </c>
      <c r="D332" s="27" t="n">
        <v>2.566464841</v>
      </c>
      <c r="E332" s="28" t="n">
        <v>10822.21</v>
      </c>
      <c r="F332" s="29" t="n">
        <v>0.229</v>
      </c>
      <c r="G332" s="29" t="n">
        <v>0.2482</v>
      </c>
      <c r="H332" s="29" t="n">
        <v>0.07480000000000001</v>
      </c>
      <c r="I332" s="29" t="n">
        <v>0.1001</v>
      </c>
      <c r="J332" s="29" t="n">
        <v>0.0278</v>
      </c>
      <c r="K332" s="29" t="n">
        <v>0.0271</v>
      </c>
      <c r="L332" s="29" t="n">
        <v>0.0421</v>
      </c>
      <c r="M332" s="29" t="n">
        <v>0.0299</v>
      </c>
      <c r="N332" s="26" t="n">
        <v>198.4963</v>
      </c>
      <c r="O332" s="26" t="n">
        <v>509.1125</v>
      </c>
      <c r="P332" s="29" t="n">
        <v>0.1536</v>
      </c>
      <c r="Q332" s="29" t="n">
        <v>0.1043</v>
      </c>
      <c r="R332" s="30" t="n">
        <v>73</v>
      </c>
    </row>
    <row r="333">
      <c r="A333" t="inlineStr">
        <is>
          <t>NE</t>
        </is>
      </c>
      <c r="B333" t="n">
        <v>2023</v>
      </c>
      <c r="C333" s="21" t="n">
        <v>393267</v>
      </c>
      <c r="D333" s="22" t="n">
        <v>2.637992022</v>
      </c>
      <c r="E333" s="15" t="n">
        <v>11555.9</v>
      </c>
      <c r="F333" s="23" t="n">
        <v>0.2248</v>
      </c>
      <c r="G333" s="23" t="n">
        <v>0.2497</v>
      </c>
      <c r="H333" s="23" t="n">
        <v>0.0736</v>
      </c>
      <c r="I333" s="23" t="n">
        <v>0.0916</v>
      </c>
      <c r="J333" s="23" t="n">
        <v>0.0421</v>
      </c>
      <c r="K333" s="23" t="n">
        <v>0.0249</v>
      </c>
      <c r="L333" s="23" t="n">
        <v>0.04</v>
      </c>
      <c r="M333" s="23" t="n">
        <v>0.0303</v>
      </c>
      <c r="N333" s="21" t="n">
        <v>204.8572</v>
      </c>
      <c r="O333" s="21" t="n">
        <v>504.2119</v>
      </c>
      <c r="P333" s="23" t="n">
        <v>0.1642</v>
      </c>
      <c r="Q333" s="23" t="n">
        <v>0.0977</v>
      </c>
      <c r="R333" s="24" t="n">
        <v>74</v>
      </c>
    </row>
    <row r="334">
      <c r="A334" s="25" t="inlineStr">
        <is>
          <t>NE</t>
        </is>
      </c>
      <c r="B334" s="25" t="n">
        <v>2024</v>
      </c>
      <c r="C334" s="26" t="n">
        <v>401528</v>
      </c>
      <c r="D334" s="27" t="n">
        <v>2.727480871</v>
      </c>
      <c r="E334" s="28" t="n">
        <v>12054.68</v>
      </c>
      <c r="F334" s="29" t="n">
        <v>0.2218</v>
      </c>
      <c r="G334" s="29" t="n">
        <v>0.2611</v>
      </c>
      <c r="H334" s="29" t="n">
        <v>0.0721</v>
      </c>
      <c r="I334" s="29" t="n">
        <v>0.0917</v>
      </c>
      <c r="J334" s="29" t="n">
        <v>0.0351</v>
      </c>
      <c r="K334" s="29" t="n">
        <v>0.0237</v>
      </c>
      <c r="L334" s="29" t="n">
        <v>0.0386</v>
      </c>
      <c r="M334" s="29" t="n">
        <v>0.029</v>
      </c>
      <c r="N334" s="26" t="n">
        <v>207.7354</v>
      </c>
      <c r="O334" s="26" t="n">
        <v>513.1685</v>
      </c>
      <c r="P334" s="29" t="n">
        <v>0.1634</v>
      </c>
      <c r="Q334" s="29" t="n">
        <v>0.08790000000000001</v>
      </c>
      <c r="R334" s="30" t="n">
        <v>74</v>
      </c>
    </row>
    <row r="335">
      <c r="A335" t="inlineStr">
        <is>
          <t>NH</t>
        </is>
      </c>
      <c r="B335" t="n">
        <v>2014</v>
      </c>
      <c r="C335" s="21" t="n">
        <v>269116</v>
      </c>
      <c r="D335" s="22" t="n">
        <v>1.699955578</v>
      </c>
      <c r="E335" s="15" t="n">
        <v>7829.93</v>
      </c>
      <c r="F335" s="23" t="n">
        <v>0.2807</v>
      </c>
      <c r="G335" s="23" t="n">
        <v>0.2081</v>
      </c>
      <c r="H335" s="23" t="n">
        <v>0.09810000000000001</v>
      </c>
      <c r="I335" s="23" t="n">
        <v>0.1031</v>
      </c>
      <c r="J335" s="23" t="n">
        <v>0.0229</v>
      </c>
      <c r="K335" s="23" t="n">
        <v>0.051</v>
      </c>
      <c r="L335" s="23" t="n">
        <v>0.0469</v>
      </c>
      <c r="M335" s="23" t="n">
        <v>0.0294</v>
      </c>
      <c r="N335" s="21" t="n">
        <v>241.6333</v>
      </c>
      <c r="O335" s="21" t="n">
        <v>666.2383</v>
      </c>
      <c r="P335" s="23" t="n">
        <v>0.1636</v>
      </c>
      <c r="Q335" s="23" t="n">
        <v>0.1615</v>
      </c>
      <c r="R335" s="24" t="n">
        <v>71</v>
      </c>
    </row>
    <row r="336">
      <c r="A336" s="25" t="inlineStr">
        <is>
          <t>NH</t>
        </is>
      </c>
      <c r="B336" s="25" t="n">
        <v>2015</v>
      </c>
      <c r="C336" s="26" t="n">
        <v>277055</v>
      </c>
      <c r="D336" s="27" t="n">
        <v>1.785652055</v>
      </c>
      <c r="E336" s="28" t="n">
        <v>8012.94</v>
      </c>
      <c r="F336" s="29" t="n">
        <v>0.2764</v>
      </c>
      <c r="G336" s="29" t="n">
        <v>0.2173</v>
      </c>
      <c r="H336" s="29" t="n">
        <v>0.0965</v>
      </c>
      <c r="I336" s="29" t="n">
        <v>0.0977</v>
      </c>
      <c r="J336" s="29" t="n">
        <v>0.0234</v>
      </c>
      <c r="K336" s="29" t="n">
        <v>0.0523</v>
      </c>
      <c r="L336" s="29" t="n">
        <v>0.0454</v>
      </c>
      <c r="M336" s="29" t="n">
        <v>0.029</v>
      </c>
      <c r="N336" s="26" t="n">
        <v>244.3167</v>
      </c>
      <c r="O336" s="26" t="n">
        <v>669.1840999999999</v>
      </c>
      <c r="P336" s="29" t="n">
        <v>0.1678</v>
      </c>
      <c r="Q336" s="29" t="n">
        <v>0.1601</v>
      </c>
      <c r="R336" s="30" t="n">
        <v>71</v>
      </c>
    </row>
    <row r="337">
      <c r="A337" t="inlineStr">
        <is>
          <t>NH</t>
        </is>
      </c>
      <c r="B337" t="n">
        <v>2016</v>
      </c>
      <c r="C337" s="21" t="n">
        <v>285643</v>
      </c>
      <c r="D337" s="22" t="n">
        <v>1.849977588</v>
      </c>
      <c r="E337" s="15" t="n">
        <v>8176.62</v>
      </c>
      <c r="F337" s="23" t="n">
        <v>0.2809</v>
      </c>
      <c r="G337" s="23" t="n">
        <v>0.2309</v>
      </c>
      <c r="H337" s="23" t="n">
        <v>0.09180000000000001</v>
      </c>
      <c r="I337" s="23" t="n">
        <v>0.0902</v>
      </c>
      <c r="J337" s="23" t="n">
        <v>0.0187</v>
      </c>
      <c r="K337" s="23" t="n">
        <v>0.0522</v>
      </c>
      <c r="L337" s="23" t="n">
        <v>0.0449</v>
      </c>
      <c r="M337" s="23" t="n">
        <v>0.0307</v>
      </c>
      <c r="N337" s="21" t="n">
        <v>244.8244</v>
      </c>
      <c r="O337" s="21" t="n">
        <v>671.2868999999999</v>
      </c>
      <c r="P337" s="23" t="n">
        <v>0.1682</v>
      </c>
      <c r="Q337" s="23" t="n">
        <v>0.1549</v>
      </c>
      <c r="R337" s="24" t="n">
        <v>71</v>
      </c>
    </row>
    <row r="338">
      <c r="A338" s="25" t="inlineStr">
        <is>
          <t>NH</t>
        </is>
      </c>
      <c r="B338" s="25" t="n">
        <v>2017</v>
      </c>
      <c r="C338" s="26" t="n">
        <v>294240</v>
      </c>
      <c r="D338" s="27" t="n">
        <v>1.88890716</v>
      </c>
      <c r="E338" s="28" t="n">
        <v>8376.969999999999</v>
      </c>
      <c r="F338" s="29" t="n">
        <v>0.2833</v>
      </c>
      <c r="G338" s="29" t="n">
        <v>0.2341</v>
      </c>
      <c r="H338" s="29" t="n">
        <v>0.0911</v>
      </c>
      <c r="I338" s="29" t="n">
        <v>0.0863</v>
      </c>
      <c r="J338" s="29" t="n">
        <v>0.0167</v>
      </c>
      <c r="K338" s="29" t="n">
        <v>0.0522</v>
      </c>
      <c r="L338" s="29" t="n">
        <v>0.0441</v>
      </c>
      <c r="M338" s="29" t="n">
        <v>0.0329</v>
      </c>
      <c r="N338" s="26" t="n">
        <v>246.2969</v>
      </c>
      <c r="O338" s="26" t="n">
        <v>664.1595</v>
      </c>
      <c r="P338" s="29" t="n">
        <v>0.1719</v>
      </c>
      <c r="Q338" s="29" t="n">
        <v>0.152</v>
      </c>
      <c r="R338" s="30" t="n">
        <v>71</v>
      </c>
    </row>
    <row r="339">
      <c r="A339" t="inlineStr">
        <is>
          <t>NH</t>
        </is>
      </c>
      <c r="B339" t="n">
        <v>2018</v>
      </c>
      <c r="C339" s="21" t="n">
        <v>304140</v>
      </c>
      <c r="D339" s="22" t="n">
        <v>1.958704606</v>
      </c>
      <c r="E339" s="15" t="n">
        <v>8685.59</v>
      </c>
      <c r="F339" s="23" t="n">
        <v>0.2763</v>
      </c>
      <c r="G339" s="23" t="n">
        <v>0.2498</v>
      </c>
      <c r="H339" s="23" t="n">
        <v>0.0893</v>
      </c>
      <c r="I339" s="23" t="n">
        <v>0.0803</v>
      </c>
      <c r="J339" s="23" t="n">
        <v>0.0179</v>
      </c>
      <c r="K339" s="23" t="n">
        <v>0.0502</v>
      </c>
      <c r="L339" s="23" t="n">
        <v>0.0435</v>
      </c>
      <c r="M339" s="23" t="n">
        <v>0.0327</v>
      </c>
      <c r="N339" s="21" t="n">
        <v>240.7322</v>
      </c>
      <c r="O339" s="21" t="n">
        <v>655.6636</v>
      </c>
      <c r="P339" s="23" t="n">
        <v>0.1702</v>
      </c>
      <c r="Q339" s="23" t="n">
        <v>0.1468</v>
      </c>
      <c r="R339" s="24" t="n">
        <v>71</v>
      </c>
    </row>
    <row r="340">
      <c r="A340" s="25" t="inlineStr">
        <is>
          <t>NH</t>
        </is>
      </c>
      <c r="B340" s="25" t="n">
        <v>2019</v>
      </c>
      <c r="C340" s="26" t="n">
        <v>312827</v>
      </c>
      <c r="D340" s="27" t="n">
        <v>1.920049318</v>
      </c>
      <c r="E340" s="28" t="n">
        <v>8934.040000000001</v>
      </c>
      <c r="F340" s="29" t="n">
        <v>0.2771</v>
      </c>
      <c r="G340" s="29" t="n">
        <v>0.2465</v>
      </c>
      <c r="H340" s="29" t="n">
        <v>0.0893</v>
      </c>
      <c r="I340" s="29" t="n">
        <v>0.075</v>
      </c>
      <c r="J340" s="29" t="n">
        <v>0.0184</v>
      </c>
      <c r="K340" s="29" t="n">
        <v>0.0494</v>
      </c>
      <c r="L340" s="29" t="n">
        <v>0.0432</v>
      </c>
      <c r="M340" s="29" t="n">
        <v>0.0363</v>
      </c>
      <c r="N340" s="26" t="n">
        <v>237.2437</v>
      </c>
      <c r="O340" s="26" t="n">
        <v>653.0845</v>
      </c>
      <c r="P340" s="29" t="n">
        <v>0.1728</v>
      </c>
      <c r="Q340" s="29" t="n">
        <v>0.1455</v>
      </c>
      <c r="R340" s="30" t="n">
        <v>72</v>
      </c>
    </row>
    <row r="341">
      <c r="A341" t="inlineStr">
        <is>
          <t>NH</t>
        </is>
      </c>
      <c r="B341" t="n">
        <v>2020</v>
      </c>
      <c r="C341" s="21" t="n">
        <v>322075</v>
      </c>
      <c r="D341" s="22" t="n">
        <v>1.741967195</v>
      </c>
      <c r="E341" s="15" t="n">
        <v>8255.219999999999</v>
      </c>
      <c r="F341" s="23" t="n">
        <v>0.2636</v>
      </c>
      <c r="G341" s="23" t="n">
        <v>0.2521</v>
      </c>
      <c r="H341" s="23" t="n">
        <v>0.0867</v>
      </c>
      <c r="I341" s="23" t="n">
        <v>0.0762</v>
      </c>
      <c r="J341" s="23" t="n">
        <v>0.0212</v>
      </c>
      <c r="K341" s="23" t="n">
        <v>0.0501</v>
      </c>
      <c r="L341" s="23" t="n">
        <v>0.0395</v>
      </c>
      <c r="M341" s="23" t="n">
        <v>0.0405</v>
      </c>
      <c r="N341" s="21" t="n">
        <v>194.7833</v>
      </c>
      <c r="O341" s="21" t="n">
        <v>527.1356</v>
      </c>
      <c r="P341" s="23" t="n">
        <v>0.1714</v>
      </c>
      <c r="Q341" s="23" t="n">
        <v>0.1364</v>
      </c>
      <c r="R341" s="24" t="n">
        <v>72</v>
      </c>
    </row>
    <row r="342">
      <c r="A342" s="25" t="inlineStr">
        <is>
          <t>NH</t>
        </is>
      </c>
      <c r="B342" s="25" t="n">
        <v>2021</v>
      </c>
      <c r="C342" s="26" t="n">
        <v>331299</v>
      </c>
      <c r="D342" s="27" t="n">
        <v>1.87144402</v>
      </c>
      <c r="E342" s="28" t="n">
        <v>9130.02</v>
      </c>
      <c r="F342" s="29" t="n">
        <v>0.2491</v>
      </c>
      <c r="G342" s="29" t="n">
        <v>0.2706</v>
      </c>
      <c r="H342" s="29" t="n">
        <v>0.09569999999999999</v>
      </c>
      <c r="I342" s="29" t="n">
        <v>0.0721</v>
      </c>
      <c r="J342" s="29" t="n">
        <v>0.0202</v>
      </c>
      <c r="K342" s="29" t="n">
        <v>0.0451</v>
      </c>
      <c r="L342" s="29" t="n">
        <v>0.0392</v>
      </c>
      <c r="M342" s="29" t="n">
        <v>0.0361</v>
      </c>
      <c r="N342" s="26" t="n">
        <v>194.7487</v>
      </c>
      <c r="O342" s="26" t="n">
        <v>566.7221</v>
      </c>
      <c r="P342" s="29" t="n">
        <v>0.1711</v>
      </c>
      <c r="Q342" s="29" t="n">
        <v>0.1328</v>
      </c>
      <c r="R342" s="30" t="n">
        <v>72</v>
      </c>
    </row>
    <row r="343">
      <c r="A343" t="inlineStr">
        <is>
          <t>NH</t>
        </is>
      </c>
      <c r="B343" t="n">
        <v>2022</v>
      </c>
      <c r="C343" s="21" t="n">
        <v>341111</v>
      </c>
      <c r="D343" s="22" t="n">
        <v>1.875741048</v>
      </c>
      <c r="E343" s="15" t="n">
        <v>9403.34</v>
      </c>
      <c r="F343" s="23" t="n">
        <v>0.247</v>
      </c>
      <c r="G343" s="23" t="n">
        <v>0.2691</v>
      </c>
      <c r="H343" s="23" t="n">
        <v>0.0931</v>
      </c>
      <c r="I343" s="23" t="n">
        <v>0.07729999999999999</v>
      </c>
      <c r="J343" s="23" t="n">
        <v>0.0225</v>
      </c>
      <c r="K343" s="23" t="n">
        <v>0.042</v>
      </c>
      <c r="L343" s="23" t="n">
        <v>0.039</v>
      </c>
      <c r="M343" s="23" t="n">
        <v>0.0362</v>
      </c>
      <c r="N343" s="21" t="n">
        <v>189.9226</v>
      </c>
      <c r="O343" s="21" t="n">
        <v>579.6487</v>
      </c>
      <c r="P343" s="23" t="n">
        <v>0.168</v>
      </c>
      <c r="Q343" s="23" t="n">
        <v>0.1296</v>
      </c>
      <c r="R343" s="24" t="n">
        <v>72</v>
      </c>
    </row>
    <row r="344">
      <c r="A344" s="25" t="inlineStr">
        <is>
          <t>NH</t>
        </is>
      </c>
      <c r="B344" s="25" t="n">
        <v>2023</v>
      </c>
      <c r="C344" s="26" t="n">
        <v>350662</v>
      </c>
      <c r="D344" s="27" t="n">
        <v>1.923743667</v>
      </c>
      <c r="E344" s="28" t="n">
        <v>10026.44</v>
      </c>
      <c r="F344" s="29" t="n">
        <v>0.2406</v>
      </c>
      <c r="G344" s="29" t="n">
        <v>0.2786</v>
      </c>
      <c r="H344" s="29" t="n">
        <v>0.0901</v>
      </c>
      <c r="I344" s="29" t="n">
        <v>0.0693</v>
      </c>
      <c r="J344" s="29" t="n">
        <v>0.0305</v>
      </c>
      <c r="K344" s="29" t="n">
        <v>0.0392</v>
      </c>
      <c r="L344" s="29" t="n">
        <v>0.0374</v>
      </c>
      <c r="M344" s="29" t="n">
        <v>0.0362</v>
      </c>
      <c r="N344" s="26" t="n">
        <v>196.558</v>
      </c>
      <c r="O344" s="26" t="n">
        <v>584.5925</v>
      </c>
      <c r="P344" s="29" t="n">
        <v>0.1721</v>
      </c>
      <c r="Q344" s="29" t="n">
        <v>0.123</v>
      </c>
      <c r="R344" s="30" t="n">
        <v>73</v>
      </c>
    </row>
    <row r="345">
      <c r="A345" t="inlineStr">
        <is>
          <t>NH</t>
        </is>
      </c>
      <c r="B345" t="n">
        <v>2024</v>
      </c>
      <c r="C345" s="21" t="n">
        <v>360394</v>
      </c>
      <c r="D345" s="22" t="n">
        <v>2.012041448</v>
      </c>
      <c r="E345" s="15" t="n">
        <v>10536.68</v>
      </c>
      <c r="F345" s="23" t="n">
        <v>0.2324</v>
      </c>
      <c r="G345" s="23" t="n">
        <v>0.2899</v>
      </c>
      <c r="H345" s="23" t="n">
        <v>0.0886</v>
      </c>
      <c r="I345" s="23" t="n">
        <v>0.06569999999999999</v>
      </c>
      <c r="J345" s="23" t="n">
        <v>0.0312</v>
      </c>
      <c r="K345" s="23" t="n">
        <v>0.0367</v>
      </c>
      <c r="L345" s="23" t="n">
        <v>0.036</v>
      </c>
      <c r="M345" s="23" t="n">
        <v>0.038</v>
      </c>
      <c r="N345" s="21" t="n">
        <v>197.1658</v>
      </c>
      <c r="O345" s="21" t="n">
        <v>587.7794</v>
      </c>
      <c r="P345" s="23" t="n">
        <v>0.1679</v>
      </c>
      <c r="Q345" s="23" t="n">
        <v>0.1013</v>
      </c>
      <c r="R345" s="24" t="n">
        <v>73</v>
      </c>
    </row>
    <row r="346">
      <c r="A346" s="25" t="inlineStr">
        <is>
          <t>NJ</t>
        </is>
      </c>
      <c r="B346" s="25" t="n">
        <v>2014</v>
      </c>
      <c r="C346" s="26" t="n">
        <v>1540510</v>
      </c>
      <c r="D346" s="27" t="n">
        <v>10.936474122</v>
      </c>
      <c r="E346" s="28" t="n">
        <v>9886.370000000001</v>
      </c>
      <c r="F346" s="29" t="n">
        <v>0.2785</v>
      </c>
      <c r="G346" s="29" t="n">
        <v>0.1142</v>
      </c>
      <c r="H346" s="29" t="n">
        <v>0.1283</v>
      </c>
      <c r="I346" s="29" t="n">
        <v>0.1093</v>
      </c>
      <c r="J346" s="29" t="n">
        <v>0.0188</v>
      </c>
      <c r="K346" s="29" t="n">
        <v>0.0338</v>
      </c>
      <c r="L346" s="29" t="n">
        <v>0.0538</v>
      </c>
      <c r="M346" s="29" t="n">
        <v>0.0255</v>
      </c>
      <c r="N346" s="26" t="n">
        <v>295.3317</v>
      </c>
      <c r="O346" s="26" t="n">
        <v>612.341</v>
      </c>
      <c r="P346" s="29" t="n">
        <v>0.1911</v>
      </c>
      <c r="Q346" s="29" t="n">
        <v>0.1484</v>
      </c>
      <c r="R346" s="30" t="n">
        <v>73</v>
      </c>
    </row>
    <row r="347">
      <c r="A347" t="inlineStr">
        <is>
          <t>NJ</t>
        </is>
      </c>
      <c r="B347" t="n">
        <v>2015</v>
      </c>
      <c r="C347" s="21" t="n">
        <v>1569133</v>
      </c>
      <c r="D347" s="22" t="n">
        <v>11.358889331</v>
      </c>
      <c r="E347" s="15" t="n">
        <v>10084.51</v>
      </c>
      <c r="F347" s="23" t="n">
        <v>0.2754</v>
      </c>
      <c r="G347" s="23" t="n">
        <v>0.1187</v>
      </c>
      <c r="H347" s="23" t="n">
        <v>0.1306</v>
      </c>
      <c r="I347" s="23" t="n">
        <v>0.1079</v>
      </c>
      <c r="J347" s="23" t="n">
        <v>0.02</v>
      </c>
      <c r="K347" s="23" t="n">
        <v>0.0345</v>
      </c>
      <c r="L347" s="23" t="n">
        <v>0.0534</v>
      </c>
      <c r="M347" s="23" t="n">
        <v>0.0251</v>
      </c>
      <c r="N347" s="21" t="n">
        <v>292.3888</v>
      </c>
      <c r="O347" s="21" t="n">
        <v>628.0867</v>
      </c>
      <c r="P347" s="23" t="n">
        <v>0.1876</v>
      </c>
      <c r="Q347" s="23" t="n">
        <v>0.1559</v>
      </c>
      <c r="R347" s="24" t="n">
        <v>73</v>
      </c>
    </row>
    <row r="348">
      <c r="A348" s="25" t="inlineStr">
        <is>
          <t>NJ</t>
        </is>
      </c>
      <c r="B348" s="25" t="n">
        <v>2016</v>
      </c>
      <c r="C348" s="26" t="n">
        <v>1597276</v>
      </c>
      <c r="D348" s="27" t="n">
        <v>11.455550505</v>
      </c>
      <c r="E348" s="28" t="n">
        <v>10185.05</v>
      </c>
      <c r="F348" s="29" t="n">
        <v>0.2764</v>
      </c>
      <c r="G348" s="29" t="n">
        <v>0.1228</v>
      </c>
      <c r="H348" s="29" t="n">
        <v>0.1293</v>
      </c>
      <c r="I348" s="29" t="n">
        <v>0.1014</v>
      </c>
      <c r="J348" s="29" t="n">
        <v>0.0172</v>
      </c>
      <c r="K348" s="29" t="n">
        <v>0.0343</v>
      </c>
      <c r="L348" s="29" t="n">
        <v>0.0535</v>
      </c>
      <c r="M348" s="29" t="n">
        <v>0.0252</v>
      </c>
      <c r="N348" s="26" t="n">
        <v>287.1005</v>
      </c>
      <c r="O348" s="26" t="n">
        <v>629.3452</v>
      </c>
      <c r="P348" s="29" t="n">
        <v>0.188</v>
      </c>
      <c r="Q348" s="29" t="n">
        <v>0.1497</v>
      </c>
      <c r="R348" s="30" t="n">
        <v>73</v>
      </c>
    </row>
    <row r="349">
      <c r="A349" t="inlineStr">
        <is>
          <t>NJ</t>
        </is>
      </c>
      <c r="B349" t="n">
        <v>2017</v>
      </c>
      <c r="C349" s="21" t="n">
        <v>1626034</v>
      </c>
      <c r="D349" s="22" t="n">
        <v>10.950149921</v>
      </c>
      <c r="E349" s="15" t="n">
        <v>10400.62</v>
      </c>
      <c r="F349" s="23" t="n">
        <v>0.2736</v>
      </c>
      <c r="G349" s="23" t="n">
        <v>0.1288</v>
      </c>
      <c r="H349" s="23" t="n">
        <v>0.1297</v>
      </c>
      <c r="I349" s="23" t="n">
        <v>0.09810000000000001</v>
      </c>
      <c r="J349" s="23" t="n">
        <v>0.0156</v>
      </c>
      <c r="K349" s="23" t="n">
        <v>0.0342</v>
      </c>
      <c r="L349" s="23" t="n">
        <v>0.0525</v>
      </c>
      <c r="M349" s="23" t="n">
        <v>0.0261</v>
      </c>
      <c r="N349" s="21" t="n">
        <v>285.4224</v>
      </c>
      <c r="O349" s="21" t="n">
        <v>630.9112</v>
      </c>
      <c r="P349" s="23" t="n">
        <v>0.1888</v>
      </c>
      <c r="Q349" s="23" t="n">
        <v>0.145</v>
      </c>
      <c r="R349" s="24" t="n">
        <v>73</v>
      </c>
    </row>
    <row r="350">
      <c r="A350" s="25" t="inlineStr">
        <is>
          <t>NJ</t>
        </is>
      </c>
      <c r="B350" s="25" t="n">
        <v>2018</v>
      </c>
      <c r="C350" s="26" t="n">
        <v>1661111</v>
      </c>
      <c r="D350" s="27" t="n">
        <v>11.287463711</v>
      </c>
      <c r="E350" s="28" t="n">
        <v>10772.04</v>
      </c>
      <c r="F350" s="29" t="n">
        <v>0.2657</v>
      </c>
      <c r="G350" s="29" t="n">
        <v>0.1412</v>
      </c>
      <c r="H350" s="29" t="n">
        <v>0.1271</v>
      </c>
      <c r="I350" s="29" t="n">
        <v>0.093</v>
      </c>
      <c r="J350" s="29" t="n">
        <v>0.0168</v>
      </c>
      <c r="K350" s="29" t="n">
        <v>0.0328</v>
      </c>
      <c r="L350" s="29" t="n">
        <v>0.0515</v>
      </c>
      <c r="M350" s="29" t="n">
        <v>0.0268</v>
      </c>
      <c r="N350" s="26" t="n">
        <v>278.2083</v>
      </c>
      <c r="O350" s="26" t="n">
        <v>620.1023</v>
      </c>
      <c r="P350" s="29" t="n">
        <v>0.1877</v>
      </c>
      <c r="Q350" s="29" t="n">
        <v>0.1377</v>
      </c>
      <c r="R350" s="30" t="n">
        <v>73</v>
      </c>
    </row>
    <row r="351">
      <c r="A351" t="inlineStr">
        <is>
          <t>NJ</t>
        </is>
      </c>
      <c r="B351" t="n">
        <v>2019</v>
      </c>
      <c r="C351" s="21" t="n">
        <v>1692622</v>
      </c>
      <c r="D351" s="22" t="n">
        <v>10.660741675</v>
      </c>
      <c r="E351" s="15" t="n">
        <v>11138.44</v>
      </c>
      <c r="F351" s="23" t="n">
        <v>0.2639</v>
      </c>
      <c r="G351" s="23" t="n">
        <v>0.1459</v>
      </c>
      <c r="H351" s="23" t="n">
        <v>0.1258</v>
      </c>
      <c r="I351" s="23" t="n">
        <v>0.0872</v>
      </c>
      <c r="J351" s="23" t="n">
        <v>0.0173</v>
      </c>
      <c r="K351" s="23" t="n">
        <v>0.0321</v>
      </c>
      <c r="L351" s="23" t="n">
        <v>0.051</v>
      </c>
      <c r="M351" s="23" t="n">
        <v>0.0278</v>
      </c>
      <c r="N351" s="21" t="n">
        <v>277.2327</v>
      </c>
      <c r="O351" s="21" t="n">
        <v>616.9867</v>
      </c>
      <c r="P351" s="23" t="n">
        <v>0.1924</v>
      </c>
      <c r="Q351" s="23" t="n">
        <v>0.1393</v>
      </c>
      <c r="R351" s="24" t="n">
        <v>73</v>
      </c>
    </row>
    <row r="352">
      <c r="A352" s="25" t="inlineStr">
        <is>
          <t>NJ</t>
        </is>
      </c>
      <c r="B352" s="25" t="n">
        <v>2020</v>
      </c>
      <c r="C352" s="26" t="n">
        <v>1722289</v>
      </c>
      <c r="D352" s="27" t="n">
        <v>9.716065975999999</v>
      </c>
      <c r="E352" s="28" t="n">
        <v>10340</v>
      </c>
      <c r="F352" s="29" t="n">
        <v>0.2631</v>
      </c>
      <c r="G352" s="29" t="n">
        <v>0.1398</v>
      </c>
      <c r="H352" s="29" t="n">
        <v>0.1208</v>
      </c>
      <c r="I352" s="29" t="n">
        <v>0.1013</v>
      </c>
      <c r="J352" s="29" t="n">
        <v>0.0196</v>
      </c>
      <c r="K352" s="29" t="n">
        <v>0.0331</v>
      </c>
      <c r="L352" s="29" t="n">
        <v>0.0455</v>
      </c>
      <c r="M352" s="29" t="n">
        <v>0.0291</v>
      </c>
      <c r="N352" s="26" t="n">
        <v>235.9752</v>
      </c>
      <c r="O352" s="26" t="n">
        <v>477.8207</v>
      </c>
      <c r="P352" s="29" t="n">
        <v>0.193</v>
      </c>
      <c r="Q352" s="29" t="n">
        <v>0.136</v>
      </c>
      <c r="R352" s="30" t="n">
        <v>73</v>
      </c>
    </row>
    <row r="353">
      <c r="A353" t="inlineStr">
        <is>
          <t>NJ</t>
        </is>
      </c>
      <c r="B353" t="n">
        <v>2021</v>
      </c>
      <c r="C353" s="21" t="n">
        <v>1736749</v>
      </c>
      <c r="D353" s="22" t="n">
        <v>10.408879867</v>
      </c>
      <c r="E353" s="15" t="n">
        <v>11562.18</v>
      </c>
      <c r="F353" s="23" t="n">
        <v>0.2538</v>
      </c>
      <c r="G353" s="23" t="n">
        <v>0.1517</v>
      </c>
      <c r="H353" s="23" t="n">
        <v>0.1297</v>
      </c>
      <c r="I353" s="23" t="n">
        <v>0.0878</v>
      </c>
      <c r="J353" s="23" t="n">
        <v>0.0194</v>
      </c>
      <c r="K353" s="23" t="n">
        <v>0.0316</v>
      </c>
      <c r="L353" s="23" t="n">
        <v>0.0476</v>
      </c>
      <c r="M353" s="23" t="n">
        <v>0.0272</v>
      </c>
      <c r="N353" s="21" t="n">
        <v>244.3838</v>
      </c>
      <c r="O353" s="21" t="n">
        <v>528.7564</v>
      </c>
      <c r="P353" s="23" t="n">
        <v>0.193</v>
      </c>
      <c r="Q353" s="23" t="n">
        <v>0.1304</v>
      </c>
      <c r="R353" s="24" t="n">
        <v>74</v>
      </c>
    </row>
    <row r="354">
      <c r="A354" s="25" t="inlineStr">
        <is>
          <t>NJ</t>
        </is>
      </c>
      <c r="B354" s="25" t="n">
        <v>2022</v>
      </c>
      <c r="C354" s="26" t="n">
        <v>1768761</v>
      </c>
      <c r="D354" s="27" t="n">
        <v>10.581247241</v>
      </c>
      <c r="E354" s="28" t="n">
        <v>12049.7</v>
      </c>
      <c r="F354" s="29" t="n">
        <v>0.2491</v>
      </c>
      <c r="G354" s="29" t="n">
        <v>0.1563</v>
      </c>
      <c r="H354" s="29" t="n">
        <v>0.1265</v>
      </c>
      <c r="I354" s="29" t="n">
        <v>0.0969</v>
      </c>
      <c r="J354" s="29" t="n">
        <v>0.0208</v>
      </c>
      <c r="K354" s="29" t="n">
        <v>0.0307</v>
      </c>
      <c r="L354" s="29" t="n">
        <v>0.0469</v>
      </c>
      <c r="M354" s="29" t="n">
        <v>0.0262</v>
      </c>
      <c r="N354" s="26" t="n">
        <v>243.0107</v>
      </c>
      <c r="O354" s="26" t="n">
        <v>557.1974</v>
      </c>
      <c r="P354" s="29" t="n">
        <v>0.1917</v>
      </c>
      <c r="Q354" s="29" t="n">
        <v>0.1298</v>
      </c>
      <c r="R354" s="30" t="n">
        <v>74</v>
      </c>
    </row>
    <row r="355">
      <c r="A355" t="inlineStr">
        <is>
          <t>NJ</t>
        </is>
      </c>
      <c r="B355" t="n">
        <v>2023</v>
      </c>
      <c r="C355" s="21" t="n">
        <v>1805401</v>
      </c>
      <c r="D355" s="22" t="n">
        <v>11.049193685</v>
      </c>
      <c r="E355" s="15" t="n">
        <v>12836.62</v>
      </c>
      <c r="F355" s="23" t="n">
        <v>0.2367</v>
      </c>
      <c r="G355" s="23" t="n">
        <v>0.1606</v>
      </c>
      <c r="H355" s="23" t="n">
        <v>0.1242</v>
      </c>
      <c r="I355" s="23" t="n">
        <v>0.0896</v>
      </c>
      <c r="J355" s="23" t="n">
        <v>0.0381</v>
      </c>
      <c r="K355" s="23" t="n">
        <v>0.029</v>
      </c>
      <c r="L355" s="23" t="n">
        <v>0.0455</v>
      </c>
      <c r="M355" s="23" t="n">
        <v>0.026</v>
      </c>
      <c r="N355" s="21" t="n">
        <v>244.7105</v>
      </c>
      <c r="O355" s="21" t="n">
        <v>558.3869999999999</v>
      </c>
      <c r="P355" s="23" t="n">
        <v>0.1927</v>
      </c>
      <c r="Q355" s="23" t="n">
        <v>0.124</v>
      </c>
      <c r="R355" s="24" t="n">
        <v>74</v>
      </c>
    </row>
    <row r="356">
      <c r="A356" s="25" t="inlineStr">
        <is>
          <t>NJ</t>
        </is>
      </c>
      <c r="B356" s="25" t="n">
        <v>2024</v>
      </c>
      <c r="C356" s="26" t="n">
        <v>1848291</v>
      </c>
      <c r="D356" s="27" t="n">
        <v>11.474000449</v>
      </c>
      <c r="E356" s="28" t="n">
        <v>13489.59</v>
      </c>
      <c r="F356" s="29" t="n">
        <v>0.233</v>
      </c>
      <c r="G356" s="29" t="n">
        <v>0.1652</v>
      </c>
      <c r="H356" s="29" t="n">
        <v>0.1228</v>
      </c>
      <c r="I356" s="29" t="n">
        <v>0.0901</v>
      </c>
      <c r="J356" s="29" t="n">
        <v>0.0407</v>
      </c>
      <c r="K356" s="29" t="n">
        <v>0.027</v>
      </c>
      <c r="L356" s="29" t="n">
        <v>0.0442</v>
      </c>
      <c r="M356" s="29" t="n">
        <v>0.0264</v>
      </c>
      <c r="N356" s="26" t="n">
        <v>246.4948</v>
      </c>
      <c r="O356" s="26" t="n">
        <v>561.3896999999999</v>
      </c>
      <c r="P356" s="29" t="n">
        <v>0.1927</v>
      </c>
      <c r="Q356" s="29" t="n">
        <v>0.1142</v>
      </c>
      <c r="R356" s="30" t="n">
        <v>74</v>
      </c>
    </row>
    <row r="357">
      <c r="A357" t="inlineStr">
        <is>
          <t>NM</t>
        </is>
      </c>
      <c r="B357" t="n">
        <v>2014</v>
      </c>
      <c r="C357" s="21" t="n">
        <v>378861</v>
      </c>
      <c r="D357" s="22" t="n">
        <v>1.589365604</v>
      </c>
      <c r="E357" s="15" t="n">
        <v>7273.58</v>
      </c>
      <c r="F357" s="23" t="n">
        <v>0.2777</v>
      </c>
      <c r="G357" s="23" t="n">
        <v>0.1603</v>
      </c>
      <c r="H357" s="23" t="n">
        <v>0.09470000000000001</v>
      </c>
      <c r="I357" s="23" t="n">
        <v>0.0646</v>
      </c>
      <c r="J357" s="23" t="n">
        <v>0.0294</v>
      </c>
      <c r="K357" s="23" t="n">
        <v>0.052</v>
      </c>
      <c r="L357" s="23" t="n">
        <v>0.0493</v>
      </c>
      <c r="M357" s="23" t="n">
        <v>0.0436</v>
      </c>
      <c r="N357" s="21" t="n">
        <v>219.4708</v>
      </c>
      <c r="O357" s="21" t="n">
        <v>591.7204</v>
      </c>
      <c r="P357" s="23" t="n">
        <v>0.1606</v>
      </c>
      <c r="Q357" s="23" t="n">
        <v>0.2461</v>
      </c>
      <c r="R357" s="24" t="n">
        <v>70</v>
      </c>
    </row>
    <row r="358">
      <c r="A358" s="25" t="inlineStr">
        <is>
          <t>NM</t>
        </is>
      </c>
      <c r="B358" s="25" t="n">
        <v>2015</v>
      </c>
      <c r="C358" s="26" t="n">
        <v>390962</v>
      </c>
      <c r="D358" s="27" t="n">
        <v>1.667593767</v>
      </c>
      <c r="E358" s="28" t="n">
        <v>7501.07</v>
      </c>
      <c r="F358" s="29" t="n">
        <v>0.2734</v>
      </c>
      <c r="G358" s="29" t="n">
        <v>0.1681</v>
      </c>
      <c r="H358" s="29" t="n">
        <v>0.0946</v>
      </c>
      <c r="I358" s="29" t="n">
        <v>0.0641</v>
      </c>
      <c r="J358" s="29" t="n">
        <v>0.0301</v>
      </c>
      <c r="K358" s="29" t="n">
        <v>0.0515</v>
      </c>
      <c r="L358" s="29" t="n">
        <v>0.0484</v>
      </c>
      <c r="M358" s="29" t="n">
        <v>0.0408</v>
      </c>
      <c r="N358" s="26" t="n">
        <v>213.104</v>
      </c>
      <c r="O358" s="26" t="n">
        <v>613.6994999999999</v>
      </c>
      <c r="P358" s="29" t="n">
        <v>0.1583</v>
      </c>
      <c r="Q358" s="29" t="n">
        <v>0.2559</v>
      </c>
      <c r="R358" s="30" t="n">
        <v>70</v>
      </c>
    </row>
    <row r="359">
      <c r="A359" t="inlineStr">
        <is>
          <t>NM</t>
        </is>
      </c>
      <c r="B359" t="n">
        <v>2016</v>
      </c>
      <c r="C359" s="21" t="n">
        <v>403105</v>
      </c>
      <c r="D359" s="22" t="n">
        <v>1.754906026</v>
      </c>
      <c r="E359" s="15" t="n">
        <v>7711.43</v>
      </c>
      <c r="F359" s="23" t="n">
        <v>0.28</v>
      </c>
      <c r="G359" s="23" t="n">
        <v>0.1765</v>
      </c>
      <c r="H359" s="23" t="n">
        <v>0.0898</v>
      </c>
      <c r="I359" s="23" t="n">
        <v>0.0611</v>
      </c>
      <c r="J359" s="23" t="n">
        <v>0.0238</v>
      </c>
      <c r="K359" s="23" t="n">
        <v>0.0497</v>
      </c>
      <c r="L359" s="23" t="n">
        <v>0.0492</v>
      </c>
      <c r="M359" s="23" t="n">
        <v>0.0412</v>
      </c>
      <c r="N359" s="21" t="n">
        <v>211.0804</v>
      </c>
      <c r="O359" s="21" t="n">
        <v>625.8459</v>
      </c>
      <c r="P359" s="23" t="n">
        <v>0.1586</v>
      </c>
      <c r="Q359" s="23" t="n">
        <v>0.2575</v>
      </c>
      <c r="R359" s="24" t="n">
        <v>70</v>
      </c>
    </row>
    <row r="360">
      <c r="A360" s="25" t="inlineStr">
        <is>
          <t>NM</t>
        </is>
      </c>
      <c r="B360" s="25" t="n">
        <v>2017</v>
      </c>
      <c r="C360" s="26" t="n">
        <v>415222</v>
      </c>
      <c r="D360" s="27" t="n">
        <v>1.809633257</v>
      </c>
      <c r="E360" s="28" t="n">
        <v>7931.46</v>
      </c>
      <c r="F360" s="29" t="n">
        <v>0.2751</v>
      </c>
      <c r="G360" s="29" t="n">
        <v>0.1847</v>
      </c>
      <c r="H360" s="29" t="n">
        <v>0.0886</v>
      </c>
      <c r="I360" s="29" t="n">
        <v>0.0617</v>
      </c>
      <c r="J360" s="29" t="n">
        <v>0.0213</v>
      </c>
      <c r="K360" s="29" t="n">
        <v>0.0482</v>
      </c>
      <c r="L360" s="29" t="n">
        <v>0.0497</v>
      </c>
      <c r="M360" s="29" t="n">
        <v>0.0429</v>
      </c>
      <c r="N360" s="26" t="n">
        <v>209.0823</v>
      </c>
      <c r="O360" s="26" t="n">
        <v>629.4339</v>
      </c>
      <c r="P360" s="29" t="n">
        <v>0.1624</v>
      </c>
      <c r="Q360" s="29" t="n">
        <v>0.2558</v>
      </c>
      <c r="R360" s="30" t="n">
        <v>71</v>
      </c>
    </row>
    <row r="361">
      <c r="A361" t="inlineStr">
        <is>
          <t>NM</t>
        </is>
      </c>
      <c r="B361" t="n">
        <v>2018</v>
      </c>
      <c r="C361" s="21" t="n">
        <v>429014</v>
      </c>
      <c r="D361" s="22" t="n">
        <v>1.877486768</v>
      </c>
      <c r="E361" s="15" t="n">
        <v>8109.71</v>
      </c>
      <c r="F361" s="23" t="n">
        <v>0.2636</v>
      </c>
      <c r="G361" s="23" t="n">
        <v>0.1979</v>
      </c>
      <c r="H361" s="23" t="n">
        <v>0.08740000000000001</v>
      </c>
      <c r="I361" s="23" t="n">
        <v>0.055</v>
      </c>
      <c r="J361" s="23" t="n">
        <v>0.0225</v>
      </c>
      <c r="K361" s="23" t="n">
        <v>0.0468</v>
      </c>
      <c r="L361" s="23" t="n">
        <v>0.0501</v>
      </c>
      <c r="M361" s="23" t="n">
        <v>0.0424</v>
      </c>
      <c r="N361" s="21" t="n">
        <v>201.7183</v>
      </c>
      <c r="O361" s="21" t="n">
        <v>618.4026</v>
      </c>
      <c r="P361" s="23" t="n">
        <v>0.1573</v>
      </c>
      <c r="Q361" s="23" t="n">
        <v>0.2433</v>
      </c>
      <c r="R361" s="24" t="n">
        <v>71</v>
      </c>
    </row>
    <row r="362">
      <c r="A362" s="25" t="inlineStr">
        <is>
          <t>NM</t>
        </is>
      </c>
      <c r="B362" s="25" t="n">
        <v>2019</v>
      </c>
      <c r="C362" s="26" t="n">
        <v>441116</v>
      </c>
      <c r="D362" s="27" t="n">
        <v>1.943014308</v>
      </c>
      <c r="E362" s="28" t="n">
        <v>8430.15</v>
      </c>
      <c r="F362" s="29" t="n">
        <v>0.2592</v>
      </c>
      <c r="G362" s="29" t="n">
        <v>0.2001</v>
      </c>
      <c r="H362" s="29" t="n">
        <v>0.0863</v>
      </c>
      <c r="I362" s="29" t="n">
        <v>0.054</v>
      </c>
      <c r="J362" s="29" t="n">
        <v>0.0225</v>
      </c>
      <c r="K362" s="29" t="n">
        <v>0.0454</v>
      </c>
      <c r="L362" s="29" t="n">
        <v>0.0506</v>
      </c>
      <c r="M362" s="29" t="n">
        <v>0.0445</v>
      </c>
      <c r="N362" s="26" t="n">
        <v>199.9922</v>
      </c>
      <c r="O362" s="26" t="n">
        <v>614.5329</v>
      </c>
      <c r="P362" s="29" t="n">
        <v>0.1609</v>
      </c>
      <c r="Q362" s="29" t="n">
        <v>0.2265</v>
      </c>
      <c r="R362" s="30" t="n">
        <v>71</v>
      </c>
    </row>
    <row r="363">
      <c r="A363" t="inlineStr">
        <is>
          <t>NM</t>
        </is>
      </c>
      <c r="B363" t="n">
        <v>2020</v>
      </c>
      <c r="C363" s="21" t="n">
        <v>451997</v>
      </c>
      <c r="D363" s="22" t="n">
        <v>1.786060678</v>
      </c>
      <c r="E363" s="15" t="n">
        <v>7929.34</v>
      </c>
      <c r="F363" s="23" t="n">
        <v>0.2518</v>
      </c>
      <c r="G363" s="23" t="n">
        <v>0.1933</v>
      </c>
      <c r="H363" s="23" t="n">
        <v>0.0819</v>
      </c>
      <c r="I363" s="23" t="n">
        <v>0.0579</v>
      </c>
      <c r="J363" s="23" t="n">
        <v>0.0276</v>
      </c>
      <c r="K363" s="23" t="n">
        <v>0.0462</v>
      </c>
      <c r="L363" s="23" t="n">
        <v>0.046</v>
      </c>
      <c r="M363" s="23" t="n">
        <v>0.0493</v>
      </c>
      <c r="N363" s="21" t="n">
        <v>164.5349</v>
      </c>
      <c r="O363" s="21" t="n">
        <v>488.9477</v>
      </c>
      <c r="P363" s="23" t="n">
        <v>0.161</v>
      </c>
      <c r="Q363" s="23" t="n">
        <v>0.2059</v>
      </c>
      <c r="R363" s="24" t="n">
        <v>71</v>
      </c>
    </row>
    <row r="364">
      <c r="A364" s="25" t="inlineStr">
        <is>
          <t>NM</t>
        </is>
      </c>
      <c r="B364" s="25" t="n">
        <v>2021</v>
      </c>
      <c r="C364" s="26" t="n">
        <v>459399</v>
      </c>
      <c r="D364" s="27" t="n">
        <v>1.868830294</v>
      </c>
      <c r="E364" s="28" t="n">
        <v>8702.959999999999</v>
      </c>
      <c r="F364" s="29" t="n">
        <v>0.2429</v>
      </c>
      <c r="G364" s="29" t="n">
        <v>0.2081</v>
      </c>
      <c r="H364" s="29" t="n">
        <v>0.09080000000000001</v>
      </c>
      <c r="I364" s="29" t="n">
        <v>0.0508</v>
      </c>
      <c r="J364" s="29" t="n">
        <v>0.0306</v>
      </c>
      <c r="K364" s="29" t="n">
        <v>0.0432</v>
      </c>
      <c r="L364" s="29" t="n">
        <v>0.0471</v>
      </c>
      <c r="M364" s="29" t="n">
        <v>0.044</v>
      </c>
      <c r="N364" s="26" t="n">
        <v>166.6333</v>
      </c>
      <c r="O364" s="26" t="n">
        <v>527.7482</v>
      </c>
      <c r="P364" s="29" t="n">
        <v>0.1621</v>
      </c>
      <c r="Q364" s="29" t="n">
        <v>0.206</v>
      </c>
      <c r="R364" s="30" t="n">
        <v>72</v>
      </c>
    </row>
    <row r="365">
      <c r="A365" t="inlineStr">
        <is>
          <t>NM</t>
        </is>
      </c>
      <c r="B365" t="n">
        <v>2022</v>
      </c>
      <c r="C365" s="21" t="n">
        <v>466984</v>
      </c>
      <c r="D365" s="22" t="n">
        <v>1.864988511</v>
      </c>
      <c r="E365" s="15" t="n">
        <v>9153.59</v>
      </c>
      <c r="F365" s="23" t="n">
        <v>0.2355</v>
      </c>
      <c r="G365" s="23" t="n">
        <v>0.218</v>
      </c>
      <c r="H365" s="23" t="n">
        <v>0.0883</v>
      </c>
      <c r="I365" s="23" t="n">
        <v>0.0549</v>
      </c>
      <c r="J365" s="23" t="n">
        <v>0.0339</v>
      </c>
      <c r="K365" s="23" t="n">
        <v>0.0429</v>
      </c>
      <c r="L365" s="23" t="n">
        <v>0.0456</v>
      </c>
      <c r="M365" s="23" t="n">
        <v>0.0415</v>
      </c>
      <c r="N365" s="21" t="n">
        <v>164.7165</v>
      </c>
      <c r="O365" s="21" t="n">
        <v>559.8545</v>
      </c>
      <c r="P365" s="23" t="n">
        <v>0.1552</v>
      </c>
      <c r="Q365" s="23" t="n">
        <v>0.1956</v>
      </c>
      <c r="R365" s="24" t="n">
        <v>72</v>
      </c>
    </row>
    <row r="366">
      <c r="A366" s="25" t="inlineStr">
        <is>
          <t>NM</t>
        </is>
      </c>
      <c r="B366" s="25" t="n">
        <v>2023</v>
      </c>
      <c r="C366" s="26" t="n">
        <v>474322</v>
      </c>
      <c r="D366" s="27" t="n">
        <v>1.905955026</v>
      </c>
      <c r="E366" s="28" t="n">
        <v>9792.860000000001</v>
      </c>
      <c r="F366" s="29" t="n">
        <v>0.2213</v>
      </c>
      <c r="G366" s="29" t="n">
        <v>0.2186</v>
      </c>
      <c r="H366" s="29" t="n">
        <v>0.08550000000000001</v>
      </c>
      <c r="I366" s="29" t="n">
        <v>0.0491</v>
      </c>
      <c r="J366" s="29" t="n">
        <v>0.0539</v>
      </c>
      <c r="K366" s="29" t="n">
        <v>0.0399</v>
      </c>
      <c r="L366" s="29" t="n">
        <v>0.0429</v>
      </c>
      <c r="M366" s="29" t="n">
        <v>0.0438</v>
      </c>
      <c r="N366" s="26" t="n">
        <v>168.1473</v>
      </c>
      <c r="O366" s="26" t="n">
        <v>557.5229</v>
      </c>
      <c r="P366" s="29" t="n">
        <v>0.154</v>
      </c>
      <c r="Q366" s="29" t="n">
        <v>0.1822</v>
      </c>
      <c r="R366" s="30" t="n">
        <v>73</v>
      </c>
    </row>
    <row r="367">
      <c r="A367" t="inlineStr">
        <is>
          <t>NM</t>
        </is>
      </c>
      <c r="B367" t="n">
        <v>2024</v>
      </c>
      <c r="C367" s="21" t="n">
        <v>482770</v>
      </c>
      <c r="D367" s="22" t="n">
        <v>1.975283649</v>
      </c>
      <c r="E367" s="15" t="n">
        <v>10314.04</v>
      </c>
      <c r="F367" s="23" t="n">
        <v>0.2211</v>
      </c>
      <c r="G367" s="23" t="n">
        <v>0.213</v>
      </c>
      <c r="H367" s="23" t="n">
        <v>0.0862</v>
      </c>
      <c r="I367" s="23" t="n">
        <v>0.0503</v>
      </c>
      <c r="J367" s="23" t="n">
        <v>0.0532</v>
      </c>
      <c r="K367" s="23" t="n">
        <v>0.0382</v>
      </c>
      <c r="L367" s="23" t="n">
        <v>0.04</v>
      </c>
      <c r="M367" s="23" t="n">
        <v>0.0451</v>
      </c>
      <c r="N367" s="21" t="n">
        <v>174.0186</v>
      </c>
      <c r="O367" s="21" t="n">
        <v>572.9868</v>
      </c>
      <c r="P367" s="23" t="n">
        <v>0.1582</v>
      </c>
      <c r="Q367" s="23" t="n">
        <v>0.1637</v>
      </c>
      <c r="R367" s="24" t="n">
        <v>73</v>
      </c>
    </row>
    <row r="368">
      <c r="A368" s="25" t="inlineStr">
        <is>
          <t>NV</t>
        </is>
      </c>
      <c r="B368" s="25" t="n">
        <v>2014</v>
      </c>
      <c r="C368" s="26" t="n">
        <v>456431</v>
      </c>
      <c r="D368" s="27" t="n">
        <v>2.274760953</v>
      </c>
      <c r="E368" s="28" t="n">
        <v>9025.07</v>
      </c>
      <c r="F368" s="29" t="n">
        <v>0.2746</v>
      </c>
      <c r="G368" s="29" t="n">
        <v>0.0953</v>
      </c>
      <c r="H368" s="29" t="n">
        <v>0.1134</v>
      </c>
      <c r="I368" s="29" t="n">
        <v>0.0583</v>
      </c>
      <c r="J368" s="29" t="n">
        <v>0.0245</v>
      </c>
      <c r="K368" s="29" t="n">
        <v>0.0602</v>
      </c>
      <c r="L368" s="29" t="n">
        <v>0.0528</v>
      </c>
      <c r="M368" s="29" t="n">
        <v>0.0283</v>
      </c>
      <c r="N368" s="26" t="n">
        <v>249.4198</v>
      </c>
      <c r="O368" s="26" t="n">
        <v>601.8076</v>
      </c>
      <c r="P368" s="29" t="n">
        <v>0.1838</v>
      </c>
      <c r="Q368" s="29" t="n">
        <v>0.1561</v>
      </c>
      <c r="R368" s="30" t="n">
        <v>71</v>
      </c>
    </row>
    <row r="369">
      <c r="A369" t="inlineStr">
        <is>
          <t>NV</t>
        </is>
      </c>
      <c r="B369" t="n">
        <v>2015</v>
      </c>
      <c r="C369" s="21" t="n">
        <v>477218</v>
      </c>
      <c r="D369" s="22" t="n">
        <v>2.401952833</v>
      </c>
      <c r="E369" s="15" t="n">
        <v>9253.09</v>
      </c>
      <c r="F369" s="23" t="n">
        <v>0.2775</v>
      </c>
      <c r="G369" s="23" t="n">
        <v>0.09660000000000001</v>
      </c>
      <c r="H369" s="23" t="n">
        <v>0.1153</v>
      </c>
      <c r="I369" s="23" t="n">
        <v>0.0593</v>
      </c>
      <c r="J369" s="23" t="n">
        <v>0.0266</v>
      </c>
      <c r="K369" s="23" t="n">
        <v>0.0631</v>
      </c>
      <c r="L369" s="23" t="n">
        <v>0.0525</v>
      </c>
      <c r="M369" s="23" t="n">
        <v>0.0269</v>
      </c>
      <c r="N369" s="21" t="n">
        <v>251.5178</v>
      </c>
      <c r="O369" s="21" t="n">
        <v>619.73</v>
      </c>
      <c r="P369" s="23" t="n">
        <v>0.1854</v>
      </c>
      <c r="Q369" s="23" t="n">
        <v>0.1594</v>
      </c>
      <c r="R369" s="24" t="n">
        <v>71</v>
      </c>
    </row>
    <row r="370">
      <c r="A370" s="25" t="inlineStr">
        <is>
          <t>NV</t>
        </is>
      </c>
      <c r="B370" s="25" t="n">
        <v>2016</v>
      </c>
      <c r="C370" s="26" t="n">
        <v>496161</v>
      </c>
      <c r="D370" s="27" t="n">
        <v>2.480537385</v>
      </c>
      <c r="E370" s="28" t="n">
        <v>9346.52</v>
      </c>
      <c r="F370" s="29" t="n">
        <v>0.2812</v>
      </c>
      <c r="G370" s="29" t="n">
        <v>0.0993</v>
      </c>
      <c r="H370" s="29" t="n">
        <v>0.112</v>
      </c>
      <c r="I370" s="29" t="n">
        <v>0.0594</v>
      </c>
      <c r="J370" s="29" t="n">
        <v>0.0228</v>
      </c>
      <c r="K370" s="29" t="n">
        <v>0.06370000000000001</v>
      </c>
      <c r="L370" s="29" t="n">
        <v>0.0527</v>
      </c>
      <c r="M370" s="29" t="n">
        <v>0.0271</v>
      </c>
      <c r="N370" s="26" t="n">
        <v>256.9735</v>
      </c>
      <c r="O370" s="26" t="n">
        <v>625.5082</v>
      </c>
      <c r="P370" s="29" t="n">
        <v>0.1914</v>
      </c>
      <c r="Q370" s="29" t="n">
        <v>0.175</v>
      </c>
      <c r="R370" s="30" t="n">
        <v>71</v>
      </c>
    </row>
    <row r="371">
      <c r="A371" t="inlineStr">
        <is>
          <t>NV</t>
        </is>
      </c>
      <c r="B371" t="n">
        <v>2017</v>
      </c>
      <c r="C371" s="21" t="n">
        <v>515647</v>
      </c>
      <c r="D371" s="22" t="n">
        <v>2.59968364</v>
      </c>
      <c r="E371" s="15" t="n">
        <v>9646.18</v>
      </c>
      <c r="F371" s="23" t="n">
        <v>0.2845</v>
      </c>
      <c r="G371" s="23" t="n">
        <v>0.0978</v>
      </c>
      <c r="H371" s="23" t="n">
        <v>0.1102</v>
      </c>
      <c r="I371" s="23" t="n">
        <v>0.0593</v>
      </c>
      <c r="J371" s="23" t="n">
        <v>0.0239</v>
      </c>
      <c r="K371" s="23" t="n">
        <v>0.0629</v>
      </c>
      <c r="L371" s="23" t="n">
        <v>0.0514</v>
      </c>
      <c r="M371" s="23" t="n">
        <v>0.0275</v>
      </c>
      <c r="N371" s="21" t="n">
        <v>267.5359</v>
      </c>
      <c r="O371" s="21" t="n">
        <v>653.7231</v>
      </c>
      <c r="P371" s="23" t="n">
        <v>0.1952</v>
      </c>
      <c r="Q371" s="23" t="n">
        <v>0.1782</v>
      </c>
      <c r="R371" s="24" t="n">
        <v>71</v>
      </c>
    </row>
    <row r="372">
      <c r="A372" s="25" t="inlineStr">
        <is>
          <t>NV</t>
        </is>
      </c>
      <c r="B372" s="25" t="n">
        <v>2018</v>
      </c>
      <c r="C372" s="26" t="n">
        <v>536704</v>
      </c>
      <c r="D372" s="27" t="n">
        <v>2.73087278</v>
      </c>
      <c r="E372" s="28" t="n">
        <v>9969.85</v>
      </c>
      <c r="F372" s="29" t="n">
        <v>0.2764</v>
      </c>
      <c r="G372" s="29" t="n">
        <v>0.1035</v>
      </c>
      <c r="H372" s="29" t="n">
        <v>0.1078</v>
      </c>
      <c r="I372" s="29" t="n">
        <v>0.0566</v>
      </c>
      <c r="J372" s="29" t="n">
        <v>0.0216</v>
      </c>
      <c r="K372" s="29" t="n">
        <v>0.0633</v>
      </c>
      <c r="L372" s="29" t="n">
        <v>0.0521</v>
      </c>
      <c r="M372" s="29" t="n">
        <v>0.0292</v>
      </c>
      <c r="N372" s="26" t="n">
        <v>263.1785</v>
      </c>
      <c r="O372" s="26" t="n">
        <v>653.4009</v>
      </c>
      <c r="P372" s="29" t="n">
        <v>0.2</v>
      </c>
      <c r="Q372" s="29" t="n">
        <v>0.177</v>
      </c>
      <c r="R372" s="30" t="n">
        <v>71</v>
      </c>
    </row>
    <row r="373">
      <c r="A373" t="inlineStr">
        <is>
          <t>NV</t>
        </is>
      </c>
      <c r="B373" t="n">
        <v>2019</v>
      </c>
      <c r="C373" s="21" t="n">
        <v>557179</v>
      </c>
      <c r="D373" s="22" t="n">
        <v>2.846457589</v>
      </c>
      <c r="E373" s="15" t="n">
        <v>10320.47</v>
      </c>
      <c r="F373" s="23" t="n">
        <v>0.2697</v>
      </c>
      <c r="G373" s="23" t="n">
        <v>0.1079</v>
      </c>
      <c r="H373" s="23" t="n">
        <v>0.1092</v>
      </c>
      <c r="I373" s="23" t="n">
        <v>0.0555</v>
      </c>
      <c r="J373" s="23" t="n">
        <v>0.0192</v>
      </c>
      <c r="K373" s="23" t="n">
        <v>0.06419999999999999</v>
      </c>
      <c r="L373" s="23" t="n">
        <v>0.0522</v>
      </c>
      <c r="M373" s="23" t="n">
        <v>0.0302</v>
      </c>
      <c r="N373" s="21" t="n">
        <v>257.7636</v>
      </c>
      <c r="O373" s="21" t="n">
        <v>653.2829</v>
      </c>
      <c r="P373" s="23" t="n">
        <v>0.2024</v>
      </c>
      <c r="Q373" s="23" t="n">
        <v>0.1715</v>
      </c>
      <c r="R373" s="24" t="n">
        <v>72</v>
      </c>
    </row>
    <row r="374">
      <c r="A374" s="25" t="inlineStr">
        <is>
          <t>NV</t>
        </is>
      </c>
      <c r="B374" s="25" t="n">
        <v>2020</v>
      </c>
      <c r="C374" s="26" t="n">
        <v>575144</v>
      </c>
      <c r="D374" s="27" t="n">
        <v>2.720858039</v>
      </c>
      <c r="E374" s="28" t="n">
        <v>9949.530000000001</v>
      </c>
      <c r="F374" s="29" t="n">
        <v>0.2628</v>
      </c>
      <c r="G374" s="29" t="n">
        <v>0.1021</v>
      </c>
      <c r="H374" s="29" t="n">
        <v>0.1068</v>
      </c>
      <c r="I374" s="29" t="n">
        <v>0.0596</v>
      </c>
      <c r="J374" s="29" t="n">
        <v>0.0229</v>
      </c>
      <c r="K374" s="29" t="n">
        <v>0.0669</v>
      </c>
      <c r="L374" s="29" t="n">
        <v>0.0476</v>
      </c>
      <c r="M374" s="29" t="n">
        <v>0.0339</v>
      </c>
      <c r="N374" s="26" t="n">
        <v>224.6129</v>
      </c>
      <c r="O374" s="26" t="n">
        <v>536.9881</v>
      </c>
      <c r="P374" s="29" t="n">
        <v>0.2005</v>
      </c>
      <c r="Q374" s="29" t="n">
        <v>0.1613</v>
      </c>
      <c r="R374" s="30" t="n">
        <v>72</v>
      </c>
    </row>
    <row r="375">
      <c r="A375" t="inlineStr">
        <is>
          <t>NV</t>
        </is>
      </c>
      <c r="B375" t="n">
        <v>2021</v>
      </c>
      <c r="C375" s="21" t="n">
        <v>589033</v>
      </c>
      <c r="D375" s="22" t="n">
        <v>2.77988879</v>
      </c>
      <c r="E375" s="15" t="n">
        <v>10627.14</v>
      </c>
      <c r="F375" s="23" t="n">
        <v>0.2536</v>
      </c>
      <c r="G375" s="23" t="n">
        <v>0.1116</v>
      </c>
      <c r="H375" s="23" t="n">
        <v>0.112</v>
      </c>
      <c r="I375" s="23" t="n">
        <v>0.0519</v>
      </c>
      <c r="J375" s="23" t="n">
        <v>0.027</v>
      </c>
      <c r="K375" s="23" t="n">
        <v>0.0655</v>
      </c>
      <c r="L375" s="23" t="n">
        <v>0.0487</v>
      </c>
      <c r="M375" s="23" t="n">
        <v>0.0332</v>
      </c>
      <c r="N375" s="21" t="n">
        <v>220.2314</v>
      </c>
      <c r="O375" s="21" t="n">
        <v>558.0042999999999</v>
      </c>
      <c r="P375" s="23" t="n">
        <v>0.1962</v>
      </c>
      <c r="Q375" s="23" t="n">
        <v>0.1547</v>
      </c>
      <c r="R375" s="24" t="n">
        <v>72</v>
      </c>
    </row>
    <row r="376">
      <c r="A376" s="25" t="inlineStr">
        <is>
          <t>NV</t>
        </is>
      </c>
      <c r="B376" s="25" t="n">
        <v>2022</v>
      </c>
      <c r="C376" s="26" t="n">
        <v>601698</v>
      </c>
      <c r="D376" s="27" t="n">
        <v>2.809769127</v>
      </c>
      <c r="E376" s="28" t="n">
        <v>11216.06</v>
      </c>
      <c r="F376" s="29" t="n">
        <v>0.2449</v>
      </c>
      <c r="G376" s="29" t="n">
        <v>0.1155</v>
      </c>
      <c r="H376" s="29" t="n">
        <v>0.1104</v>
      </c>
      <c r="I376" s="29" t="n">
        <v>0.0582</v>
      </c>
      <c r="J376" s="29" t="n">
        <v>0.0343</v>
      </c>
      <c r="K376" s="29" t="n">
        <v>0.062</v>
      </c>
      <c r="L376" s="29" t="n">
        <v>0.0461</v>
      </c>
      <c r="M376" s="29" t="n">
        <v>0.0338</v>
      </c>
      <c r="N376" s="26" t="n">
        <v>221.8807</v>
      </c>
      <c r="O376" s="26" t="n">
        <v>594.3524</v>
      </c>
      <c r="P376" s="29" t="n">
        <v>0.1964</v>
      </c>
      <c r="Q376" s="29" t="n">
        <v>0.1468</v>
      </c>
      <c r="R376" s="30" t="n">
        <v>72</v>
      </c>
    </row>
    <row r="377">
      <c r="A377" t="inlineStr">
        <is>
          <t>NV</t>
        </is>
      </c>
      <c r="B377" t="n">
        <v>2023</v>
      </c>
      <c r="C377" s="21" t="n">
        <v>614468</v>
      </c>
      <c r="D377" s="22" t="n">
        <v>2.964255287</v>
      </c>
      <c r="E377" s="15" t="n">
        <v>12324.87</v>
      </c>
      <c r="F377" s="23" t="n">
        <v>0.2203</v>
      </c>
      <c r="G377" s="23" t="n">
        <v>0.1136</v>
      </c>
      <c r="H377" s="23" t="n">
        <v>0.1055</v>
      </c>
      <c r="I377" s="23" t="n">
        <v>0.0535</v>
      </c>
      <c r="J377" s="23" t="n">
        <v>0.0799</v>
      </c>
      <c r="K377" s="23" t="n">
        <v>0.0573</v>
      </c>
      <c r="L377" s="23" t="n">
        <v>0.0422</v>
      </c>
      <c r="M377" s="23" t="n">
        <v>0.0359</v>
      </c>
      <c r="N377" s="21" t="n">
        <v>220.7185</v>
      </c>
      <c r="O377" s="21" t="n">
        <v>589.6886</v>
      </c>
      <c r="P377" s="23" t="n">
        <v>0.1907</v>
      </c>
      <c r="Q377" s="23" t="n">
        <v>0.153</v>
      </c>
      <c r="R377" s="24" t="n">
        <v>73</v>
      </c>
    </row>
    <row r="378">
      <c r="A378" s="25" t="inlineStr">
        <is>
          <t>NV</t>
        </is>
      </c>
      <c r="B378" s="25" t="n">
        <v>2024</v>
      </c>
      <c r="C378" s="26" t="n">
        <v>630804</v>
      </c>
      <c r="D378" s="27" t="n">
        <v>3.113533115</v>
      </c>
      <c r="E378" s="28" t="n">
        <v>13211.02</v>
      </c>
      <c r="F378" s="29" t="n">
        <v>0.2091</v>
      </c>
      <c r="G378" s="29" t="n">
        <v>0.1128</v>
      </c>
      <c r="H378" s="29" t="n">
        <v>0.1026</v>
      </c>
      <c r="I378" s="29" t="n">
        <v>0.0517</v>
      </c>
      <c r="J378" s="29" t="n">
        <v>0.09569999999999999</v>
      </c>
      <c r="K378" s="29" t="n">
        <v>0.0561</v>
      </c>
      <c r="L378" s="29" t="n">
        <v>0.0401</v>
      </c>
      <c r="M378" s="29" t="n">
        <v>0.0372</v>
      </c>
      <c r="N378" s="26" t="n">
        <v>221.3623</v>
      </c>
      <c r="O378" s="26" t="n">
        <v>602.6468</v>
      </c>
      <c r="P378" s="29" t="n">
        <v>0.1974</v>
      </c>
      <c r="Q378" s="29" t="n">
        <v>0.1431</v>
      </c>
      <c r="R378" s="30" t="n">
        <v>73</v>
      </c>
    </row>
    <row r="379">
      <c r="A379" t="inlineStr">
        <is>
          <t>NY</t>
        </is>
      </c>
      <c r="B379" t="n">
        <v>2014</v>
      </c>
      <c r="C379" s="21" t="n">
        <v>3443701</v>
      </c>
      <c r="D379" s="22" t="n">
        <v>16.52402414</v>
      </c>
      <c r="E379" s="15" t="n">
        <v>9174.02</v>
      </c>
      <c r="F379" s="23" t="n">
        <v>0.3077</v>
      </c>
      <c r="G379" s="23" t="n">
        <v>0.1208</v>
      </c>
      <c r="H379" s="23" t="n">
        <v>0.1272</v>
      </c>
      <c r="I379" s="23" t="n">
        <v>0.097</v>
      </c>
      <c r="J379" s="23" t="n">
        <v>0.0205</v>
      </c>
      <c r="K379" s="23" t="n">
        <v>0.0409</v>
      </c>
      <c r="L379" s="23" t="n">
        <v>0.0545</v>
      </c>
      <c r="M379" s="23" t="n">
        <v>0.0164</v>
      </c>
      <c r="N379" s="21" t="n">
        <v>290.5957</v>
      </c>
      <c r="O379" s="21" t="n">
        <v>613.4859</v>
      </c>
      <c r="P379" s="23" t="n">
        <v>0.1939</v>
      </c>
      <c r="Q379" s="23" t="n">
        <v>0.2835</v>
      </c>
      <c r="R379" s="24" t="n">
        <v>72</v>
      </c>
    </row>
    <row r="380">
      <c r="A380" s="25" t="inlineStr">
        <is>
          <t>NY</t>
        </is>
      </c>
      <c r="B380" s="25" t="n">
        <v>2015</v>
      </c>
      <c r="C380" s="26" t="n">
        <v>3509368</v>
      </c>
      <c r="D380" s="27" t="n">
        <v>16.983028532</v>
      </c>
      <c r="E380" s="28" t="n">
        <v>9494.809999999999</v>
      </c>
      <c r="F380" s="29" t="n">
        <v>0.299</v>
      </c>
      <c r="G380" s="29" t="n">
        <v>0.1288</v>
      </c>
      <c r="H380" s="29" t="n">
        <v>0.1246</v>
      </c>
      <c r="I380" s="29" t="n">
        <v>0.0979</v>
      </c>
      <c r="J380" s="29" t="n">
        <v>0.0209</v>
      </c>
      <c r="K380" s="29" t="n">
        <v>0.0404</v>
      </c>
      <c r="L380" s="29" t="n">
        <v>0.0535</v>
      </c>
      <c r="M380" s="29" t="n">
        <v>0.0159</v>
      </c>
      <c r="N380" s="26" t="n">
        <v>286.4237</v>
      </c>
      <c r="O380" s="26" t="n">
        <v>622.3653</v>
      </c>
      <c r="P380" s="29" t="n">
        <v>0.1923</v>
      </c>
      <c r="Q380" s="29" t="n">
        <v>0.2742</v>
      </c>
      <c r="R380" s="30" t="n">
        <v>72</v>
      </c>
    </row>
    <row r="381">
      <c r="A381" t="inlineStr">
        <is>
          <t>NY</t>
        </is>
      </c>
      <c r="B381" t="n">
        <v>2016</v>
      </c>
      <c r="C381" s="21" t="n">
        <v>3570148</v>
      </c>
      <c r="D381" s="22" t="n">
        <v>17.436832795</v>
      </c>
      <c r="E381" s="15" t="n">
        <v>9670.620000000001</v>
      </c>
      <c r="F381" s="23" t="n">
        <v>0.3003</v>
      </c>
      <c r="G381" s="23" t="n">
        <v>0.1333</v>
      </c>
      <c r="H381" s="23" t="n">
        <v>0.1224</v>
      </c>
      <c r="I381" s="23" t="n">
        <v>0.0961</v>
      </c>
      <c r="J381" s="23" t="n">
        <v>0.0176</v>
      </c>
      <c r="K381" s="23" t="n">
        <v>0.0392</v>
      </c>
      <c r="L381" s="23" t="n">
        <v>0.0534</v>
      </c>
      <c r="M381" s="23" t="n">
        <v>0.0163</v>
      </c>
      <c r="N381" s="21" t="n">
        <v>285.3236</v>
      </c>
      <c r="O381" s="21" t="n">
        <v>625.9838999999999</v>
      </c>
      <c r="P381" s="23" t="n">
        <v>0.1935</v>
      </c>
      <c r="Q381" s="23" t="n">
        <v>0.2628</v>
      </c>
      <c r="R381" s="24" t="n">
        <v>72</v>
      </c>
    </row>
    <row r="382">
      <c r="A382" s="25" t="inlineStr">
        <is>
          <t>NY</t>
        </is>
      </c>
      <c r="B382" s="25" t="n">
        <v>2017</v>
      </c>
      <c r="C382" s="26" t="n">
        <v>3639620</v>
      </c>
      <c r="D382" s="27" t="n">
        <v>17.706556118</v>
      </c>
      <c r="E382" s="28" t="n">
        <v>10003.87</v>
      </c>
      <c r="F382" s="29" t="n">
        <v>0.2972</v>
      </c>
      <c r="G382" s="29" t="n">
        <v>0.1406</v>
      </c>
      <c r="H382" s="29" t="n">
        <v>0.1213</v>
      </c>
      <c r="I382" s="29" t="n">
        <v>0.0959</v>
      </c>
      <c r="J382" s="29" t="n">
        <v>0.0163</v>
      </c>
      <c r="K382" s="29" t="n">
        <v>0.0384</v>
      </c>
      <c r="L382" s="29" t="n">
        <v>0.0525</v>
      </c>
      <c r="M382" s="29" t="n">
        <v>0.0158</v>
      </c>
      <c r="N382" s="26" t="n">
        <v>287.967</v>
      </c>
      <c r="O382" s="26" t="n">
        <v>628.3293</v>
      </c>
      <c r="P382" s="29" t="n">
        <v>0.1938</v>
      </c>
      <c r="Q382" s="29" t="n">
        <v>0.2606</v>
      </c>
      <c r="R382" s="30" t="n">
        <v>72</v>
      </c>
    </row>
    <row r="383">
      <c r="A383" t="inlineStr">
        <is>
          <t>NY</t>
        </is>
      </c>
      <c r="B383" t="n">
        <v>2018</v>
      </c>
      <c r="C383" s="21" t="n">
        <v>3727628</v>
      </c>
      <c r="D383" s="22" t="n">
        <v>18.303404992</v>
      </c>
      <c r="E383" s="15" t="n">
        <v>10425.49</v>
      </c>
      <c r="F383" s="23" t="n">
        <v>0.2911</v>
      </c>
      <c r="G383" s="23" t="n">
        <v>0.1519</v>
      </c>
      <c r="H383" s="23" t="n">
        <v>0.1188</v>
      </c>
      <c r="I383" s="23" t="n">
        <v>0.0953</v>
      </c>
      <c r="J383" s="23" t="n">
        <v>0.0175</v>
      </c>
      <c r="K383" s="23" t="n">
        <v>0.0364</v>
      </c>
      <c r="L383" s="23" t="n">
        <v>0.0511</v>
      </c>
      <c r="M383" s="23" t="n">
        <v>0.0151</v>
      </c>
      <c r="N383" s="21" t="n">
        <v>286.1486</v>
      </c>
      <c r="O383" s="21" t="n">
        <v>624.558</v>
      </c>
      <c r="P383" s="23" t="n">
        <v>0.1929</v>
      </c>
      <c r="Q383" s="23" t="n">
        <v>0.2549</v>
      </c>
      <c r="R383" s="24" t="n">
        <v>72</v>
      </c>
    </row>
    <row r="384">
      <c r="A384" s="25" t="inlineStr">
        <is>
          <t>NY</t>
        </is>
      </c>
      <c r="B384" s="25" t="n">
        <v>2019</v>
      </c>
      <c r="C384" s="26" t="n">
        <v>3801343</v>
      </c>
      <c r="D384" s="27" t="n">
        <v>19.011309094</v>
      </c>
      <c r="E384" s="28" t="n">
        <v>10914.5</v>
      </c>
      <c r="F384" s="29" t="n">
        <v>0.2906</v>
      </c>
      <c r="G384" s="29" t="n">
        <v>0.1537</v>
      </c>
      <c r="H384" s="29" t="n">
        <v>0.1168</v>
      </c>
      <c r="I384" s="29" t="n">
        <v>0.0969</v>
      </c>
      <c r="J384" s="29" t="n">
        <v>0.0174</v>
      </c>
      <c r="K384" s="29" t="n">
        <v>0.035</v>
      </c>
      <c r="L384" s="29" t="n">
        <v>0.0509</v>
      </c>
      <c r="M384" s="29" t="n">
        <v>0.0151</v>
      </c>
      <c r="N384" s="26" t="n">
        <v>284.3845</v>
      </c>
      <c r="O384" s="26" t="n">
        <v>622.6999</v>
      </c>
      <c r="P384" s="29" t="n">
        <v>0.1918</v>
      </c>
      <c r="Q384" s="29" t="n">
        <v>0.2481</v>
      </c>
      <c r="R384" s="30" t="n">
        <v>72</v>
      </c>
    </row>
    <row r="385">
      <c r="A385" t="inlineStr">
        <is>
          <t>NY</t>
        </is>
      </c>
      <c r="B385" t="n">
        <v>2020</v>
      </c>
      <c r="C385" s="21" t="n">
        <v>3858571</v>
      </c>
      <c r="D385" s="22" t="n">
        <v>17.712477198</v>
      </c>
      <c r="E385" s="15" t="n">
        <v>10317.47</v>
      </c>
      <c r="F385" s="23" t="n">
        <v>0.2867</v>
      </c>
      <c r="G385" s="23" t="n">
        <v>0.1502</v>
      </c>
      <c r="H385" s="23" t="n">
        <v>0.1114</v>
      </c>
      <c r="I385" s="23" t="n">
        <v>0.1127</v>
      </c>
      <c r="J385" s="23" t="n">
        <v>0.0189</v>
      </c>
      <c r="K385" s="23" t="n">
        <v>0.0361</v>
      </c>
      <c r="L385" s="23" t="n">
        <v>0.045</v>
      </c>
      <c r="M385" s="23" t="n">
        <v>0.0169</v>
      </c>
      <c r="N385" s="21" t="n">
        <v>240.1706</v>
      </c>
      <c r="O385" s="21" t="n">
        <v>493.6985</v>
      </c>
      <c r="P385" s="23" t="n">
        <v>0.1884</v>
      </c>
      <c r="Q385" s="23" t="n">
        <v>0.2456</v>
      </c>
      <c r="R385" s="24" t="n">
        <v>73</v>
      </c>
    </row>
    <row r="386">
      <c r="A386" s="25" t="inlineStr">
        <is>
          <t>NY</t>
        </is>
      </c>
      <c r="B386" s="25" t="n">
        <v>2021</v>
      </c>
      <c r="C386" s="26" t="n">
        <v>3880506</v>
      </c>
      <c r="D386" s="27" t="n">
        <v>19.032681814</v>
      </c>
      <c r="E386" s="28" t="n">
        <v>11532.82</v>
      </c>
      <c r="F386" s="29" t="n">
        <v>0.2775</v>
      </c>
      <c r="G386" s="29" t="n">
        <v>0.1607</v>
      </c>
      <c r="H386" s="29" t="n">
        <v>0.1207</v>
      </c>
      <c r="I386" s="29" t="n">
        <v>0.1041</v>
      </c>
      <c r="J386" s="29" t="n">
        <v>0.0179</v>
      </c>
      <c r="K386" s="29" t="n">
        <v>0.0344</v>
      </c>
      <c r="L386" s="29" t="n">
        <v>0.0465</v>
      </c>
      <c r="M386" s="29" t="n">
        <v>0.0155</v>
      </c>
      <c r="N386" s="26" t="n">
        <v>245.7241</v>
      </c>
      <c r="O386" s="26" t="n">
        <v>538.6583000000001</v>
      </c>
      <c r="P386" s="29" t="n">
        <v>0.1885</v>
      </c>
      <c r="Q386" s="29" t="n">
        <v>0.2367</v>
      </c>
      <c r="R386" s="30" t="n">
        <v>73</v>
      </c>
    </row>
    <row r="387">
      <c r="A387" t="inlineStr">
        <is>
          <t>NY</t>
        </is>
      </c>
      <c r="B387" t="n">
        <v>2022</v>
      </c>
      <c r="C387" s="21" t="n">
        <v>3936225</v>
      </c>
      <c r="D387" s="22" t="n">
        <v>19.420529526</v>
      </c>
      <c r="E387" s="15" t="n">
        <v>12143.9</v>
      </c>
      <c r="F387" s="23" t="n">
        <v>0.2745</v>
      </c>
      <c r="G387" s="23" t="n">
        <v>0.1644</v>
      </c>
      <c r="H387" s="23" t="n">
        <v>0.1173</v>
      </c>
      <c r="I387" s="23" t="n">
        <v>0.1132</v>
      </c>
      <c r="J387" s="23" t="n">
        <v>0.0218</v>
      </c>
      <c r="K387" s="23" t="n">
        <v>0.0329</v>
      </c>
      <c r="L387" s="23" t="n">
        <v>0.0448</v>
      </c>
      <c r="M387" s="23" t="n">
        <v>0.0148</v>
      </c>
      <c r="N387" s="21" t="n">
        <v>244.9237</v>
      </c>
      <c r="O387" s="21" t="n">
        <v>560.6978</v>
      </c>
      <c r="P387" s="23" t="n">
        <v>0.1853</v>
      </c>
      <c r="Q387" s="23" t="n">
        <v>0.2287</v>
      </c>
      <c r="R387" s="24" t="n">
        <v>73</v>
      </c>
    </row>
    <row r="388">
      <c r="A388" s="25" t="inlineStr">
        <is>
          <t>NY</t>
        </is>
      </c>
      <c r="B388" s="25" t="n">
        <v>2023</v>
      </c>
      <c r="C388" s="26" t="n">
        <v>4003915</v>
      </c>
      <c r="D388" s="27" t="n">
        <v>19.517578633</v>
      </c>
      <c r="E388" s="28" t="n">
        <v>12605.94</v>
      </c>
      <c r="F388" s="29" t="n">
        <v>0.2604</v>
      </c>
      <c r="G388" s="29" t="n">
        <v>0.1717</v>
      </c>
      <c r="H388" s="29" t="n">
        <v>0.118</v>
      </c>
      <c r="I388" s="29" t="n">
        <v>0.1053</v>
      </c>
      <c r="J388" s="29" t="n">
        <v>0.0323</v>
      </c>
      <c r="K388" s="29" t="n">
        <v>0.0325</v>
      </c>
      <c r="L388" s="29" t="n">
        <v>0.0437</v>
      </c>
      <c r="M388" s="29" t="n">
        <v>0.0148</v>
      </c>
      <c r="N388" s="26" t="n">
        <v>248.3995</v>
      </c>
      <c r="O388" s="26" t="n">
        <v>567.9798</v>
      </c>
      <c r="P388" s="29" t="n">
        <v>0.1831</v>
      </c>
      <c r="Q388" s="29" t="n">
        <v>0.2253</v>
      </c>
      <c r="R388" s="30" t="n">
        <v>74</v>
      </c>
    </row>
    <row r="389">
      <c r="A389" t="inlineStr">
        <is>
          <t>NY</t>
        </is>
      </c>
      <c r="B389" t="n">
        <v>2024</v>
      </c>
      <c r="C389" s="21" t="n">
        <v>4086934</v>
      </c>
      <c r="D389" s="22" t="n">
        <v>19.927795496</v>
      </c>
      <c r="E389" s="15" t="n">
        <v>13237.14</v>
      </c>
      <c r="F389" s="23" t="n">
        <v>0.2562</v>
      </c>
      <c r="G389" s="23" t="n">
        <v>0.1785</v>
      </c>
      <c r="H389" s="23" t="n">
        <v>0.1174</v>
      </c>
      <c r="I389" s="23" t="n">
        <v>0.1053</v>
      </c>
      <c r="J389" s="23" t="n">
        <v>0.0351</v>
      </c>
      <c r="K389" s="23" t="n">
        <v>0.0324</v>
      </c>
      <c r="L389" s="23" t="n">
        <v>0.0416</v>
      </c>
      <c r="M389" s="23" t="n">
        <v>0.015</v>
      </c>
      <c r="N389" s="21" t="n">
        <v>251.8018</v>
      </c>
      <c r="O389" s="21" t="n">
        <v>579.4104</v>
      </c>
      <c r="P389" s="23" t="n">
        <v>0.1861</v>
      </c>
      <c r="Q389" s="23" t="n">
        <v>0.2164</v>
      </c>
      <c r="R389" s="24" t="n">
        <v>74</v>
      </c>
    </row>
    <row r="390">
      <c r="A390" s="25" t="inlineStr">
        <is>
          <t>OH</t>
        </is>
      </c>
      <c r="B390" s="25" t="n">
        <v>2014</v>
      </c>
      <c r="C390" s="26" t="n">
        <v>2219993</v>
      </c>
      <c r="D390" s="27" t="n">
        <v>11.42490553</v>
      </c>
      <c r="E390" s="28" t="n">
        <v>9753.610000000001</v>
      </c>
      <c r="F390" s="29" t="n">
        <v>0.2953</v>
      </c>
      <c r="G390" s="29" t="n">
        <v>0.1547</v>
      </c>
      <c r="H390" s="29" t="n">
        <v>0.09909999999999999</v>
      </c>
      <c r="I390" s="29" t="n">
        <v>0.1085</v>
      </c>
      <c r="J390" s="29" t="n">
        <v>0.0221</v>
      </c>
      <c r="K390" s="29" t="n">
        <v>0.0491</v>
      </c>
      <c r="L390" s="29" t="n">
        <v>0.0449</v>
      </c>
      <c r="M390" s="29" t="n">
        <v>0.0411</v>
      </c>
      <c r="N390" s="26" t="n">
        <v>318.3153</v>
      </c>
      <c r="O390" s="26" t="n">
        <v>801.4992999999999</v>
      </c>
      <c r="P390" s="29" t="n">
        <v>0.1873</v>
      </c>
      <c r="Q390" s="29" t="n">
        <v>0.2243</v>
      </c>
      <c r="R390" s="30" t="n">
        <v>70</v>
      </c>
    </row>
    <row r="391">
      <c r="A391" t="inlineStr">
        <is>
          <t>OH</t>
        </is>
      </c>
      <c r="B391" t="n">
        <v>2015</v>
      </c>
      <c r="C391" s="21" t="n">
        <v>2266485</v>
      </c>
      <c r="D391" s="22" t="n">
        <v>10.989094418</v>
      </c>
      <c r="E391" s="15" t="n">
        <v>9692.870000000001</v>
      </c>
      <c r="F391" s="23" t="n">
        <v>0.29</v>
      </c>
      <c r="G391" s="23" t="n">
        <v>0.1638</v>
      </c>
      <c r="H391" s="23" t="n">
        <v>0.0988</v>
      </c>
      <c r="I391" s="23" t="n">
        <v>0.1051</v>
      </c>
      <c r="J391" s="23" t="n">
        <v>0.023</v>
      </c>
      <c r="K391" s="23" t="n">
        <v>0.0508</v>
      </c>
      <c r="L391" s="23" t="n">
        <v>0.0457</v>
      </c>
      <c r="M391" s="23" t="n">
        <v>0.0394</v>
      </c>
      <c r="N391" s="21" t="n">
        <v>302.5844</v>
      </c>
      <c r="O391" s="21" t="n">
        <v>775.817</v>
      </c>
      <c r="P391" s="23" t="n">
        <v>0.1811</v>
      </c>
      <c r="Q391" s="23" t="n">
        <v>0.1943</v>
      </c>
      <c r="R391" s="24" t="n">
        <v>71</v>
      </c>
    </row>
    <row r="392">
      <c r="A392" s="25" t="inlineStr">
        <is>
          <t>OH</t>
        </is>
      </c>
      <c r="B392" s="25" t="n">
        <v>2016</v>
      </c>
      <c r="C392" s="26" t="n">
        <v>2312888</v>
      </c>
      <c r="D392" s="27" t="n">
        <v>11.983650148</v>
      </c>
      <c r="E392" s="28" t="n">
        <v>9732.6</v>
      </c>
      <c r="F392" s="29" t="n">
        <v>0.2924</v>
      </c>
      <c r="G392" s="29" t="n">
        <v>0.1734</v>
      </c>
      <c r="H392" s="29" t="n">
        <v>0.0961</v>
      </c>
      <c r="I392" s="29" t="n">
        <v>0.0987</v>
      </c>
      <c r="J392" s="29" t="n">
        <v>0.0195</v>
      </c>
      <c r="K392" s="29" t="n">
        <v>0.0508</v>
      </c>
      <c r="L392" s="29" t="n">
        <v>0.046</v>
      </c>
      <c r="M392" s="29" t="n">
        <v>0.0398</v>
      </c>
      <c r="N392" s="26" t="n">
        <v>295.8742</v>
      </c>
      <c r="O392" s="26" t="n">
        <v>764.5209</v>
      </c>
      <c r="P392" s="29" t="n">
        <v>0.1805</v>
      </c>
      <c r="Q392" s="29" t="n">
        <v>0.1826</v>
      </c>
      <c r="R392" s="30" t="n">
        <v>71</v>
      </c>
    </row>
    <row r="393">
      <c r="A393" t="inlineStr">
        <is>
          <t>OH</t>
        </is>
      </c>
      <c r="B393" t="n">
        <v>2017</v>
      </c>
      <c r="C393" s="21" t="n">
        <v>2356849</v>
      </c>
      <c r="D393" s="22" t="n">
        <v>12.234913105</v>
      </c>
      <c r="E393" s="15" t="n">
        <v>10017.65</v>
      </c>
      <c r="F393" s="23" t="n">
        <v>0.2927</v>
      </c>
      <c r="G393" s="23" t="n">
        <v>0.1833</v>
      </c>
      <c r="H393" s="23" t="n">
        <v>0.0949</v>
      </c>
      <c r="I393" s="23" t="n">
        <v>0.09329999999999999</v>
      </c>
      <c r="J393" s="23" t="n">
        <v>0.0184</v>
      </c>
      <c r="K393" s="23" t="n">
        <v>0.05</v>
      </c>
      <c r="L393" s="23" t="n">
        <v>0.0453</v>
      </c>
      <c r="M393" s="23" t="n">
        <v>0.0399</v>
      </c>
      <c r="N393" s="21" t="n">
        <v>298.6082</v>
      </c>
      <c r="O393" s="21" t="n">
        <v>761.4734999999999</v>
      </c>
      <c r="P393" s="23" t="n">
        <v>0.1812</v>
      </c>
      <c r="Q393" s="23" t="n">
        <v>0.1795</v>
      </c>
      <c r="R393" s="24" t="n">
        <v>71</v>
      </c>
    </row>
    <row r="394">
      <c r="A394" s="25" t="inlineStr">
        <is>
          <t>OH</t>
        </is>
      </c>
      <c r="B394" s="25" t="n">
        <v>2018</v>
      </c>
      <c r="C394" s="26" t="n">
        <v>2409155</v>
      </c>
      <c r="D394" s="27" t="n">
        <v>12.152005657</v>
      </c>
      <c r="E394" s="28" t="n">
        <v>10297.38</v>
      </c>
      <c r="F394" s="29" t="n">
        <v>0.2825</v>
      </c>
      <c r="G394" s="29" t="n">
        <v>0.1957</v>
      </c>
      <c r="H394" s="29" t="n">
        <v>0.09370000000000001</v>
      </c>
      <c r="I394" s="29" t="n">
        <v>0.0878</v>
      </c>
      <c r="J394" s="29" t="n">
        <v>0.0197</v>
      </c>
      <c r="K394" s="29" t="n">
        <v>0.0487</v>
      </c>
      <c r="L394" s="29" t="n">
        <v>0.0446</v>
      </c>
      <c r="M394" s="29" t="n">
        <v>0.0409</v>
      </c>
      <c r="N394" s="26" t="n">
        <v>287.479</v>
      </c>
      <c r="O394" s="26" t="n">
        <v>734.3241</v>
      </c>
      <c r="P394" s="29" t="n">
        <v>0.1817</v>
      </c>
      <c r="Q394" s="29" t="n">
        <v>0.171</v>
      </c>
      <c r="R394" s="30" t="n">
        <v>71</v>
      </c>
    </row>
    <row r="395">
      <c r="A395" t="inlineStr">
        <is>
          <t>OH</t>
        </is>
      </c>
      <c r="B395" t="n">
        <v>2019</v>
      </c>
      <c r="C395" s="21" t="n">
        <v>2454871</v>
      </c>
      <c r="D395" s="22" t="n">
        <v>12.195342053</v>
      </c>
      <c r="E395" s="15" t="n">
        <v>10518.61</v>
      </c>
      <c r="F395" s="23" t="n">
        <v>0.2787</v>
      </c>
      <c r="G395" s="23" t="n">
        <v>0.1992</v>
      </c>
      <c r="H395" s="23" t="n">
        <v>0.09320000000000001</v>
      </c>
      <c r="I395" s="23" t="n">
        <v>0.0842</v>
      </c>
      <c r="J395" s="23" t="n">
        <v>0.0199</v>
      </c>
      <c r="K395" s="23" t="n">
        <v>0.0472</v>
      </c>
      <c r="L395" s="23" t="n">
        <v>0.0445</v>
      </c>
      <c r="M395" s="23" t="n">
        <v>0.0435</v>
      </c>
      <c r="N395" s="21" t="n">
        <v>280.0115</v>
      </c>
      <c r="O395" s="21" t="n">
        <v>721.1477</v>
      </c>
      <c r="P395" s="23" t="n">
        <v>0.183</v>
      </c>
      <c r="Q395" s="23" t="n">
        <v>0.1634</v>
      </c>
      <c r="R395" s="24" t="n">
        <v>72</v>
      </c>
    </row>
    <row r="396">
      <c r="A396" s="25" t="inlineStr">
        <is>
          <t>OH</t>
        </is>
      </c>
      <c r="B396" s="25" t="n">
        <v>2020</v>
      </c>
      <c r="C396" s="26" t="n">
        <v>2496986</v>
      </c>
      <c r="D396" s="27" t="n">
        <v>11.183438366</v>
      </c>
      <c r="E396" s="28" t="n">
        <v>9972.379999999999</v>
      </c>
      <c r="F396" s="29" t="n">
        <v>0.2755</v>
      </c>
      <c r="G396" s="29" t="n">
        <v>0.2012</v>
      </c>
      <c r="H396" s="29" t="n">
        <v>0.08799999999999999</v>
      </c>
      <c r="I396" s="29" t="n">
        <v>0.0916</v>
      </c>
      <c r="J396" s="29" t="n">
        <v>0.0223</v>
      </c>
      <c r="K396" s="29" t="n">
        <v>0.0421</v>
      </c>
      <c r="L396" s="29" t="n">
        <v>0.0411</v>
      </c>
      <c r="M396" s="29" t="n">
        <v>0.0461</v>
      </c>
      <c r="N396" s="26" t="n">
        <v>242.3641</v>
      </c>
      <c r="O396" s="26" t="n">
        <v>583.6</v>
      </c>
      <c r="P396" s="29" t="n">
        <v>0.1869</v>
      </c>
      <c r="Q396" s="29" t="n">
        <v>0.1526</v>
      </c>
      <c r="R396" s="30" t="n">
        <v>72</v>
      </c>
    </row>
    <row r="397">
      <c r="A397" t="inlineStr">
        <is>
          <t>OH</t>
        </is>
      </c>
      <c r="B397" t="n">
        <v>2021</v>
      </c>
      <c r="C397" s="21" t="n">
        <v>2526943</v>
      </c>
      <c r="D397" s="22" t="n">
        <v>11.415455735</v>
      </c>
      <c r="E397" s="15" t="n">
        <v>10663.14</v>
      </c>
      <c r="F397" s="23" t="n">
        <v>0.2656</v>
      </c>
      <c r="G397" s="23" t="n">
        <v>0.219</v>
      </c>
      <c r="H397" s="23" t="n">
        <v>0.0963</v>
      </c>
      <c r="I397" s="23" t="n">
        <v>0.0849</v>
      </c>
      <c r="J397" s="23" t="n">
        <v>0.0219</v>
      </c>
      <c r="K397" s="23" t="n">
        <v>0.0401</v>
      </c>
      <c r="L397" s="23" t="n">
        <v>0.0421</v>
      </c>
      <c r="M397" s="23" t="n">
        <v>0.0414</v>
      </c>
      <c r="N397" s="21" t="n">
        <v>238.2974</v>
      </c>
      <c r="O397" s="21" t="n">
        <v>608.5565</v>
      </c>
      <c r="P397" s="23" t="n">
        <v>0.1834</v>
      </c>
      <c r="Q397" s="23" t="n">
        <v>0.1402</v>
      </c>
      <c r="R397" s="24" t="n">
        <v>72</v>
      </c>
    </row>
    <row r="398">
      <c r="A398" s="25" t="inlineStr">
        <is>
          <t>OH</t>
        </is>
      </c>
      <c r="B398" s="25" t="n">
        <v>2022</v>
      </c>
      <c r="C398" s="26" t="n">
        <v>2563352</v>
      </c>
      <c r="D398" s="27" t="n">
        <v>10.96162815</v>
      </c>
      <c r="E398" s="28" t="n">
        <v>10792.07</v>
      </c>
      <c r="F398" s="29" t="n">
        <v>0.2565</v>
      </c>
      <c r="G398" s="29" t="n">
        <v>0.2278</v>
      </c>
      <c r="H398" s="29" t="n">
        <v>0.09370000000000001</v>
      </c>
      <c r="I398" s="29" t="n">
        <v>0.0878</v>
      </c>
      <c r="J398" s="29" t="n">
        <v>0.0243</v>
      </c>
      <c r="K398" s="29" t="n">
        <v>0.0388</v>
      </c>
      <c r="L398" s="29" t="n">
        <v>0.0417</v>
      </c>
      <c r="M398" s="29" t="n">
        <v>0.0417</v>
      </c>
      <c r="N398" s="26" t="n">
        <v>231.7933</v>
      </c>
      <c r="O398" s="26" t="n">
        <v>607.1255</v>
      </c>
      <c r="P398" s="29" t="n">
        <v>0.1821</v>
      </c>
      <c r="Q398" s="29" t="n">
        <v>0.1344</v>
      </c>
      <c r="R398" s="30" t="n">
        <v>72</v>
      </c>
    </row>
    <row r="399">
      <c r="A399" t="inlineStr">
        <is>
          <t>OH</t>
        </is>
      </c>
      <c r="B399" t="n">
        <v>2023</v>
      </c>
      <c r="C399" s="21" t="n">
        <v>2604737</v>
      </c>
      <c r="D399" s="22" t="n">
        <v>11.146362593</v>
      </c>
      <c r="E399" s="15" t="n">
        <v>11455.51</v>
      </c>
      <c r="F399" s="23" t="n">
        <v>0.2528</v>
      </c>
      <c r="G399" s="23" t="n">
        <v>0.2307</v>
      </c>
      <c r="H399" s="23" t="n">
        <v>0.09180000000000001</v>
      </c>
      <c r="I399" s="23" t="n">
        <v>0.077</v>
      </c>
      <c r="J399" s="23" t="n">
        <v>0.0324</v>
      </c>
      <c r="K399" s="23" t="n">
        <v>0.0375</v>
      </c>
      <c r="L399" s="23" t="n">
        <v>0.0405</v>
      </c>
      <c r="M399" s="23" t="n">
        <v>0.0425</v>
      </c>
      <c r="N399" s="21" t="n">
        <v>237.8016</v>
      </c>
      <c r="O399" s="21" t="n">
        <v>609.9589999999999</v>
      </c>
      <c r="P399" s="23" t="n">
        <v>0.183</v>
      </c>
      <c r="Q399" s="23" t="n">
        <v>0.1252</v>
      </c>
      <c r="R399" s="24" t="n">
        <v>73</v>
      </c>
    </row>
    <row r="400">
      <c r="A400" s="25" t="inlineStr">
        <is>
          <t>OH</t>
        </is>
      </c>
      <c r="B400" s="25" t="n">
        <v>2024</v>
      </c>
      <c r="C400" s="26" t="n">
        <v>2652256</v>
      </c>
      <c r="D400" s="27" t="n">
        <v>11.4606768</v>
      </c>
      <c r="E400" s="28" t="n">
        <v>12145.24</v>
      </c>
      <c r="F400" s="29" t="n">
        <v>0.2484</v>
      </c>
      <c r="G400" s="29" t="n">
        <v>0.2387</v>
      </c>
      <c r="H400" s="29" t="n">
        <v>0.0892</v>
      </c>
      <c r="I400" s="29" t="n">
        <v>0.0699</v>
      </c>
      <c r="J400" s="29" t="n">
        <v>0.0381</v>
      </c>
      <c r="K400" s="29" t="n">
        <v>0.036</v>
      </c>
      <c r="L400" s="29" t="n">
        <v>0.0386</v>
      </c>
      <c r="M400" s="29" t="n">
        <v>0.0436</v>
      </c>
      <c r="N400" s="26" t="n">
        <v>239.2874</v>
      </c>
      <c r="O400" s="26" t="n">
        <v>619.5743</v>
      </c>
      <c r="P400" s="29" t="n">
        <v>0.1848</v>
      </c>
      <c r="Q400" s="29" t="n">
        <v>0.111</v>
      </c>
      <c r="R400" s="30" t="n">
        <v>73</v>
      </c>
    </row>
    <row r="401">
      <c r="A401" t="inlineStr">
        <is>
          <t>OK</t>
        </is>
      </c>
      <c r="B401" t="n">
        <v>2014</v>
      </c>
      <c r="C401" s="21" t="n">
        <v>700693</v>
      </c>
      <c r="D401" s="22" t="n">
        <v>4.986022148</v>
      </c>
      <c r="E401" s="15" t="n">
        <v>9605.74</v>
      </c>
      <c r="F401" s="23" t="n">
        <v>0.278</v>
      </c>
      <c r="G401" s="23" t="n">
        <v>0.1583</v>
      </c>
      <c r="H401" s="23" t="n">
        <v>0.0838</v>
      </c>
      <c r="I401" s="23" t="n">
        <v>0.0697</v>
      </c>
      <c r="J401" s="23" t="n">
        <v>0.0258</v>
      </c>
      <c r="K401" s="23" t="n">
        <v>0.0999</v>
      </c>
      <c r="L401" s="23" t="n">
        <v>0.0452</v>
      </c>
      <c r="M401" s="23" t="n">
        <v>0.0429</v>
      </c>
      <c r="N401" s="21" t="n">
        <v>286.5892</v>
      </c>
      <c r="O401" s="21" t="n">
        <v>749.0517</v>
      </c>
      <c r="P401" s="23" t="n">
        <v>0.1669</v>
      </c>
      <c r="Q401" s="23" t="n">
        <v>0.2066</v>
      </c>
      <c r="R401" s="24" t="n">
        <v>71</v>
      </c>
    </row>
    <row r="402">
      <c r="A402" s="25" t="inlineStr">
        <is>
          <t>OK</t>
        </is>
      </c>
      <c r="B402" s="25" t="n">
        <v>2015</v>
      </c>
      <c r="C402" s="26" t="n">
        <v>714649</v>
      </c>
      <c r="D402" s="27" t="n">
        <v>5.302137894</v>
      </c>
      <c r="E402" s="28" t="n">
        <v>10103.12</v>
      </c>
      <c r="F402" s="29" t="n">
        <v>0.276</v>
      </c>
      <c r="G402" s="29" t="n">
        <v>0.1627</v>
      </c>
      <c r="H402" s="29" t="n">
        <v>0.0847</v>
      </c>
      <c r="I402" s="29" t="n">
        <v>0.0723</v>
      </c>
      <c r="J402" s="29" t="n">
        <v>0.0263</v>
      </c>
      <c r="K402" s="29" t="n">
        <v>0.0926</v>
      </c>
      <c r="L402" s="29" t="n">
        <v>0.0444</v>
      </c>
      <c r="M402" s="29" t="n">
        <v>0.0417</v>
      </c>
      <c r="N402" s="26" t="n">
        <v>291.3118</v>
      </c>
      <c r="O402" s="26" t="n">
        <v>766.0794</v>
      </c>
      <c r="P402" s="29" t="n">
        <v>0.1673</v>
      </c>
      <c r="Q402" s="29" t="n">
        <v>0.2043</v>
      </c>
      <c r="R402" s="30" t="n">
        <v>71</v>
      </c>
    </row>
    <row r="403">
      <c r="A403" t="inlineStr">
        <is>
          <t>OK</t>
        </is>
      </c>
      <c r="B403" t="n">
        <v>2016</v>
      </c>
      <c r="C403" s="21" t="n">
        <v>727451</v>
      </c>
      <c r="D403" s="22" t="n">
        <v>5.450336543</v>
      </c>
      <c r="E403" s="15" t="n">
        <v>10277.87</v>
      </c>
      <c r="F403" s="23" t="n">
        <v>0.2796</v>
      </c>
      <c r="G403" s="23" t="n">
        <v>0.1684</v>
      </c>
      <c r="H403" s="23" t="n">
        <v>0.0833</v>
      </c>
      <c r="I403" s="23" t="n">
        <v>0.0728</v>
      </c>
      <c r="J403" s="23" t="n">
        <v>0.0225</v>
      </c>
      <c r="K403" s="23" t="n">
        <v>0.0914</v>
      </c>
      <c r="L403" s="23" t="n">
        <v>0.0458</v>
      </c>
      <c r="M403" s="23" t="n">
        <v>0.0415</v>
      </c>
      <c r="N403" s="21" t="n">
        <v>285.7129</v>
      </c>
      <c r="O403" s="21" t="n">
        <v>760.3857</v>
      </c>
      <c r="P403" s="23" t="n">
        <v>0.1712</v>
      </c>
      <c r="Q403" s="23" t="n">
        <v>0.201</v>
      </c>
      <c r="R403" s="24" t="n">
        <v>71</v>
      </c>
    </row>
    <row r="404">
      <c r="A404" s="25" t="inlineStr">
        <is>
          <t>OK</t>
        </is>
      </c>
      <c r="B404" s="25" t="n">
        <v>2017</v>
      </c>
      <c r="C404" s="26" t="n">
        <v>740657</v>
      </c>
      <c r="D404" s="27" t="n">
        <v>5.675054356</v>
      </c>
      <c r="E404" s="28" t="n">
        <v>10661.32</v>
      </c>
      <c r="F404" s="29" t="n">
        <v>0.2798</v>
      </c>
      <c r="G404" s="29" t="n">
        <v>0.1755</v>
      </c>
      <c r="H404" s="29" t="n">
        <v>0.08260000000000001</v>
      </c>
      <c r="I404" s="29" t="n">
        <v>0.0762</v>
      </c>
      <c r="J404" s="29" t="n">
        <v>0.0202</v>
      </c>
      <c r="K404" s="29" t="n">
        <v>0.0876</v>
      </c>
      <c r="L404" s="29" t="n">
        <v>0.0447</v>
      </c>
      <c r="M404" s="29" t="n">
        <v>0.0421</v>
      </c>
      <c r="N404" s="26" t="n">
        <v>290.4511</v>
      </c>
      <c r="O404" s="26" t="n">
        <v>770.7058</v>
      </c>
      <c r="P404" s="29" t="n">
        <v>0.1733</v>
      </c>
      <c r="Q404" s="29" t="n">
        <v>0.1992</v>
      </c>
      <c r="R404" s="30" t="n">
        <v>71</v>
      </c>
    </row>
    <row r="405">
      <c r="A405" t="inlineStr">
        <is>
          <t>OK</t>
        </is>
      </c>
      <c r="B405" t="n">
        <v>2018</v>
      </c>
      <c r="C405" s="21" t="n">
        <v>759437</v>
      </c>
      <c r="D405" s="22" t="n">
        <v>5.919940735</v>
      </c>
      <c r="E405" s="15" t="n">
        <v>11131.79</v>
      </c>
      <c r="F405" s="23" t="n">
        <v>0.2695</v>
      </c>
      <c r="G405" s="23" t="n">
        <v>0.1879</v>
      </c>
      <c r="H405" s="23" t="n">
        <v>0.08160000000000001</v>
      </c>
      <c r="I405" s="23" t="n">
        <v>0.0766</v>
      </c>
      <c r="J405" s="23" t="n">
        <v>0.0223</v>
      </c>
      <c r="K405" s="23" t="n">
        <v>0.08309999999999999</v>
      </c>
      <c r="L405" s="23" t="n">
        <v>0.0436</v>
      </c>
      <c r="M405" s="23" t="n">
        <v>0.0428</v>
      </c>
      <c r="N405" s="21" t="n">
        <v>287.5866</v>
      </c>
      <c r="O405" s="21" t="n">
        <v>759.4099</v>
      </c>
      <c r="P405" s="23" t="n">
        <v>0.1746</v>
      </c>
      <c r="Q405" s="23" t="n">
        <v>0.1923</v>
      </c>
      <c r="R405" s="24" t="n">
        <v>71</v>
      </c>
    </row>
    <row r="406">
      <c r="A406" s="25" t="inlineStr">
        <is>
          <t>OK</t>
        </is>
      </c>
      <c r="B406" s="25" t="n">
        <v>2019</v>
      </c>
      <c r="C406" s="26" t="n">
        <v>775679</v>
      </c>
      <c r="D406" s="27" t="n">
        <v>6.094510524</v>
      </c>
      <c r="E406" s="28" t="n">
        <v>11693.47</v>
      </c>
      <c r="F406" s="29" t="n">
        <v>0.2639</v>
      </c>
      <c r="G406" s="29" t="n">
        <v>0.1915</v>
      </c>
      <c r="H406" s="29" t="n">
        <v>0.0806</v>
      </c>
      <c r="I406" s="29" t="n">
        <v>0.0786</v>
      </c>
      <c r="J406" s="29" t="n">
        <v>0.022</v>
      </c>
      <c r="K406" s="29" t="n">
        <v>0.07779999999999999</v>
      </c>
      <c r="L406" s="29" t="n">
        <v>0.0431</v>
      </c>
      <c r="M406" s="29" t="n">
        <v>0.045</v>
      </c>
      <c r="N406" s="26" t="n">
        <v>286.0287</v>
      </c>
      <c r="O406" s="26" t="n">
        <v>752.042</v>
      </c>
      <c r="P406" s="29" t="n">
        <v>0.1766</v>
      </c>
      <c r="Q406" s="29" t="n">
        <v>0.1811</v>
      </c>
      <c r="R406" s="30" t="n">
        <v>71</v>
      </c>
    </row>
    <row r="407">
      <c r="A407" t="inlineStr">
        <is>
          <t>OK</t>
        </is>
      </c>
      <c r="B407" t="n">
        <v>2020</v>
      </c>
      <c r="C407" s="21" t="n">
        <v>790893</v>
      </c>
      <c r="D407" s="22" t="n">
        <v>5.793844159</v>
      </c>
      <c r="E407" s="15" t="n">
        <v>11436.45</v>
      </c>
      <c r="F407" s="23" t="n">
        <v>0.2554</v>
      </c>
      <c r="G407" s="23" t="n">
        <v>0.1821</v>
      </c>
      <c r="H407" s="23" t="n">
        <v>0.076</v>
      </c>
      <c r="I407" s="23" t="n">
        <v>0.09089999999999999</v>
      </c>
      <c r="J407" s="23" t="n">
        <v>0.0249</v>
      </c>
      <c r="K407" s="23" t="n">
        <v>0.0838</v>
      </c>
      <c r="L407" s="23" t="n">
        <v>0.0389</v>
      </c>
      <c r="M407" s="23" t="n">
        <v>0.0464</v>
      </c>
      <c r="N407" s="21" t="n">
        <v>247.3056</v>
      </c>
      <c r="O407" s="21" t="n">
        <v>619.251</v>
      </c>
      <c r="P407" s="23" t="n">
        <v>0.1747</v>
      </c>
      <c r="Q407" s="23" t="n">
        <v>0.1688</v>
      </c>
      <c r="R407" s="24" t="n">
        <v>72</v>
      </c>
    </row>
    <row r="408">
      <c r="A408" s="25" t="inlineStr">
        <is>
          <t>OK</t>
        </is>
      </c>
      <c r="B408" s="25" t="n">
        <v>2021</v>
      </c>
      <c r="C408" s="26" t="n">
        <v>803114</v>
      </c>
      <c r="D408" s="27" t="n">
        <v>5.669216734</v>
      </c>
      <c r="E408" s="28" t="n">
        <v>12055.06</v>
      </c>
      <c r="F408" s="29" t="n">
        <v>0.2448</v>
      </c>
      <c r="G408" s="29" t="n">
        <v>0.1941</v>
      </c>
      <c r="H408" s="29" t="n">
        <v>0.0837</v>
      </c>
      <c r="I408" s="29" t="n">
        <v>0.0824</v>
      </c>
      <c r="J408" s="29" t="n">
        <v>0.0266</v>
      </c>
      <c r="K408" s="29" t="n">
        <v>0.0796</v>
      </c>
      <c r="L408" s="29" t="n">
        <v>0.0401</v>
      </c>
      <c r="M408" s="29" t="n">
        <v>0.0446</v>
      </c>
      <c r="N408" s="26" t="n">
        <v>237.9406</v>
      </c>
      <c r="O408" s="26" t="n">
        <v>631.8085</v>
      </c>
      <c r="P408" s="29" t="n">
        <v>0.1699</v>
      </c>
      <c r="Q408" s="29" t="n">
        <v>0.1588</v>
      </c>
      <c r="R408" s="30" t="n">
        <v>72</v>
      </c>
    </row>
    <row r="409">
      <c r="A409" t="inlineStr">
        <is>
          <t>OK</t>
        </is>
      </c>
      <c r="B409" t="n">
        <v>2022</v>
      </c>
      <c r="C409" s="21" t="n">
        <v>815624</v>
      </c>
      <c r="D409" s="22" t="n">
        <v>5.564985194</v>
      </c>
      <c r="E409" s="15" t="n">
        <v>12481.21</v>
      </c>
      <c r="F409" s="23" t="n">
        <v>0.2323</v>
      </c>
      <c r="G409" s="23" t="n">
        <v>0.2002</v>
      </c>
      <c r="H409" s="23" t="n">
        <v>0.0805</v>
      </c>
      <c r="I409" s="23" t="n">
        <v>0.08749999999999999</v>
      </c>
      <c r="J409" s="23" t="n">
        <v>0.0288</v>
      </c>
      <c r="K409" s="23" t="n">
        <v>0.0762</v>
      </c>
      <c r="L409" s="23" t="n">
        <v>0.0388</v>
      </c>
      <c r="M409" s="23" t="n">
        <v>0.0485</v>
      </c>
      <c r="N409" s="21" t="n">
        <v>232.362</v>
      </c>
      <c r="O409" s="21" t="n">
        <v>646.3356</v>
      </c>
      <c r="P409" s="23" t="n">
        <v>0.1688</v>
      </c>
      <c r="Q409" s="23" t="n">
        <v>0.1472</v>
      </c>
      <c r="R409" s="24" t="n">
        <v>72</v>
      </c>
    </row>
    <row r="410">
      <c r="A410" s="25" t="inlineStr">
        <is>
          <t>OK</t>
        </is>
      </c>
      <c r="B410" s="25" t="n">
        <v>2023</v>
      </c>
      <c r="C410" s="26" t="n">
        <v>828700</v>
      </c>
      <c r="D410" s="27" t="n">
        <v>5.800456512</v>
      </c>
      <c r="E410" s="28" t="n">
        <v>13689.69</v>
      </c>
      <c r="F410" s="29" t="n">
        <v>0.2189</v>
      </c>
      <c r="G410" s="29" t="n">
        <v>0.2015</v>
      </c>
      <c r="H410" s="29" t="n">
        <v>0.0765</v>
      </c>
      <c r="I410" s="29" t="n">
        <v>0.0813</v>
      </c>
      <c r="J410" s="29" t="n">
        <v>0.05</v>
      </c>
      <c r="K410" s="29" t="n">
        <v>0.0694</v>
      </c>
      <c r="L410" s="29" t="n">
        <v>0.0362</v>
      </c>
      <c r="M410" s="29" t="n">
        <v>0.0503</v>
      </c>
      <c r="N410" s="26" t="n">
        <v>236.0742</v>
      </c>
      <c r="O410" s="26" t="n">
        <v>660.6075</v>
      </c>
      <c r="P410" s="29" t="n">
        <v>0.1729</v>
      </c>
      <c r="Q410" s="29" t="n">
        <v>0.1335</v>
      </c>
      <c r="R410" s="30" t="n">
        <v>73</v>
      </c>
    </row>
    <row r="411">
      <c r="A411" t="inlineStr">
        <is>
          <t>OK</t>
        </is>
      </c>
      <c r="B411" t="n">
        <v>2024</v>
      </c>
      <c r="C411" s="21" t="n">
        <v>845113</v>
      </c>
      <c r="D411" s="22" t="n">
        <v>5.91849432</v>
      </c>
      <c r="E411" s="15" t="n">
        <v>14317.98</v>
      </c>
      <c r="F411" s="23" t="n">
        <v>0.213</v>
      </c>
      <c r="G411" s="23" t="n">
        <v>0.1965</v>
      </c>
      <c r="H411" s="23" t="n">
        <v>0.0756</v>
      </c>
      <c r="I411" s="23" t="n">
        <v>0.0791</v>
      </c>
      <c r="J411" s="23" t="n">
        <v>0.068</v>
      </c>
      <c r="K411" s="23" t="n">
        <v>0.0633</v>
      </c>
      <c r="L411" s="23" t="n">
        <v>0.0353</v>
      </c>
      <c r="M411" s="23" t="n">
        <v>0.0515</v>
      </c>
      <c r="N411" s="21" t="n">
        <v>238.6655</v>
      </c>
      <c r="O411" s="21" t="n">
        <v>665.7038</v>
      </c>
      <c r="P411" s="23" t="n">
        <v>0.1811</v>
      </c>
      <c r="Q411" s="23" t="n">
        <v>0.1189</v>
      </c>
      <c r="R411" s="24" t="n">
        <v>73</v>
      </c>
    </row>
    <row r="412">
      <c r="A412" s="25" t="inlineStr">
        <is>
          <t>OR</t>
        </is>
      </c>
      <c r="B412" s="25" t="n">
        <v>2014</v>
      </c>
      <c r="C412" s="26" t="n">
        <v>764398</v>
      </c>
      <c r="D412" s="27" t="n">
        <v>2.495961049</v>
      </c>
      <c r="E412" s="28" t="n">
        <v>6871.67</v>
      </c>
      <c r="F412" s="29" t="n">
        <v>0.3056</v>
      </c>
      <c r="G412" s="29" t="n">
        <v>0.1813</v>
      </c>
      <c r="H412" s="29" t="n">
        <v>0.08840000000000001</v>
      </c>
      <c r="I412" s="29" t="n">
        <v>0.0701</v>
      </c>
      <c r="J412" s="29" t="n">
        <v>0.0298</v>
      </c>
      <c r="K412" s="29" t="n">
        <v>0.0365</v>
      </c>
      <c r="L412" s="29" t="n">
        <v>0.0566</v>
      </c>
      <c r="M412" s="29" t="n">
        <v>0.0353</v>
      </c>
      <c r="N412" s="26" t="n">
        <v>207.8987</v>
      </c>
      <c r="O412" s="26" t="n">
        <v>591.2919000000001</v>
      </c>
      <c r="P412" s="29" t="n">
        <v>0.1495</v>
      </c>
      <c r="Q412" s="29" t="n">
        <v>0.1956</v>
      </c>
      <c r="R412" s="30" t="n">
        <v>71</v>
      </c>
    </row>
    <row r="413">
      <c r="A413" t="inlineStr">
        <is>
          <t>OR</t>
        </is>
      </c>
      <c r="B413" t="n">
        <v>2015</v>
      </c>
      <c r="C413" s="21" t="n">
        <v>793206</v>
      </c>
      <c r="D413" s="22" t="n">
        <v>2.682548097</v>
      </c>
      <c r="E413" s="15" t="n">
        <v>7222.37</v>
      </c>
      <c r="F413" s="23" t="n">
        <v>0.2977</v>
      </c>
      <c r="G413" s="23" t="n">
        <v>0.1877</v>
      </c>
      <c r="H413" s="23" t="n">
        <v>0.0868</v>
      </c>
      <c r="I413" s="23" t="n">
        <v>0.0684</v>
      </c>
      <c r="J413" s="23" t="n">
        <v>0.0306</v>
      </c>
      <c r="K413" s="23" t="n">
        <v>0.0367</v>
      </c>
      <c r="L413" s="23" t="n">
        <v>0.0549</v>
      </c>
      <c r="M413" s="23" t="n">
        <v>0.0354</v>
      </c>
      <c r="N413" s="21" t="n">
        <v>209.7156</v>
      </c>
      <c r="O413" s="21" t="n">
        <v>613.3105</v>
      </c>
      <c r="P413" s="23" t="n">
        <v>0.1533</v>
      </c>
      <c r="Q413" s="23" t="n">
        <v>0.2031</v>
      </c>
      <c r="R413" s="24" t="n">
        <v>71</v>
      </c>
    </row>
    <row r="414">
      <c r="A414" s="25" t="inlineStr">
        <is>
          <t>OR</t>
        </is>
      </c>
      <c r="B414" s="25" t="n">
        <v>2016</v>
      </c>
      <c r="C414" s="26" t="n">
        <v>820501</v>
      </c>
      <c r="D414" s="27" t="n">
        <v>2.776083349</v>
      </c>
      <c r="E414" s="28" t="n">
        <v>7281.85</v>
      </c>
      <c r="F414" s="29" t="n">
        <v>0.2959</v>
      </c>
      <c r="G414" s="29" t="n">
        <v>0.1999</v>
      </c>
      <c r="H414" s="29" t="n">
        <v>0.0842</v>
      </c>
      <c r="I414" s="29" t="n">
        <v>0.0658</v>
      </c>
      <c r="J414" s="29" t="n">
        <v>0.0248</v>
      </c>
      <c r="K414" s="29" t="n">
        <v>0.0376</v>
      </c>
      <c r="L414" s="29" t="n">
        <v>0.0545</v>
      </c>
      <c r="M414" s="29" t="n">
        <v>0.0369</v>
      </c>
      <c r="N414" s="26" t="n">
        <v>204.699</v>
      </c>
      <c r="O414" s="26" t="n">
        <v>624.6862</v>
      </c>
      <c r="P414" s="29" t="n">
        <v>0.1491</v>
      </c>
      <c r="Q414" s="29" t="n">
        <v>0.2038</v>
      </c>
      <c r="R414" s="30" t="n">
        <v>71</v>
      </c>
    </row>
    <row r="415">
      <c r="A415" t="inlineStr">
        <is>
          <t>OR</t>
        </is>
      </c>
      <c r="B415" t="n">
        <v>2017</v>
      </c>
      <c r="C415" s="21" t="n">
        <v>845401</v>
      </c>
      <c r="D415" s="22" t="n">
        <v>2.914497103</v>
      </c>
      <c r="E415" s="15" t="n">
        <v>7503.93</v>
      </c>
      <c r="F415" s="23" t="n">
        <v>0.2972</v>
      </c>
      <c r="G415" s="23" t="n">
        <v>0.2062</v>
      </c>
      <c r="H415" s="23" t="n">
        <v>0.0828</v>
      </c>
      <c r="I415" s="23" t="n">
        <v>0.06270000000000001</v>
      </c>
      <c r="J415" s="23" t="n">
        <v>0.0222</v>
      </c>
      <c r="K415" s="23" t="n">
        <v>0.0366</v>
      </c>
      <c r="L415" s="23" t="n">
        <v>0.0533</v>
      </c>
      <c r="M415" s="23" t="n">
        <v>0.0357</v>
      </c>
      <c r="N415" s="21" t="n">
        <v>205.1926</v>
      </c>
      <c r="O415" s="21" t="n">
        <v>621.6618999999999</v>
      </c>
      <c r="P415" s="23" t="n">
        <v>0.1482</v>
      </c>
      <c r="Q415" s="23" t="n">
        <v>0.2031</v>
      </c>
      <c r="R415" s="24" t="n">
        <v>71</v>
      </c>
    </row>
    <row r="416">
      <c r="A416" s="25" t="inlineStr">
        <is>
          <t>OR</t>
        </is>
      </c>
      <c r="B416" s="25" t="n">
        <v>2018</v>
      </c>
      <c r="C416" s="26" t="n">
        <v>876116</v>
      </c>
      <c r="D416" s="27" t="n">
        <v>3.100356033</v>
      </c>
      <c r="E416" s="28" t="n">
        <v>7811.53</v>
      </c>
      <c r="F416" s="29" t="n">
        <v>0.2822</v>
      </c>
      <c r="G416" s="29" t="n">
        <v>0.2197</v>
      </c>
      <c r="H416" s="29" t="n">
        <v>0.0815</v>
      </c>
      <c r="I416" s="29" t="n">
        <v>0.0605</v>
      </c>
      <c r="J416" s="29" t="n">
        <v>0.0238</v>
      </c>
      <c r="K416" s="29" t="n">
        <v>0.0346</v>
      </c>
      <c r="L416" s="29" t="n">
        <v>0.0531</v>
      </c>
      <c r="M416" s="29" t="n">
        <v>0.035</v>
      </c>
      <c r="N416" s="26" t="n">
        <v>197.8861</v>
      </c>
      <c r="O416" s="26" t="n">
        <v>615.6112000000001</v>
      </c>
      <c r="P416" s="29" t="n">
        <v>0.1507</v>
      </c>
      <c r="Q416" s="29" t="n">
        <v>0.2007</v>
      </c>
      <c r="R416" s="30" t="n">
        <v>71</v>
      </c>
    </row>
    <row r="417">
      <c r="A417" t="inlineStr">
        <is>
          <t>OR</t>
        </is>
      </c>
      <c r="B417" t="n">
        <v>2019</v>
      </c>
      <c r="C417" s="21" t="n">
        <v>902871</v>
      </c>
      <c r="D417" s="22" t="n">
        <v>3.244647441</v>
      </c>
      <c r="E417" s="15" t="n">
        <v>7994.4</v>
      </c>
      <c r="F417" s="23" t="n">
        <v>0.2727</v>
      </c>
      <c r="G417" s="23" t="n">
        <v>0.2286</v>
      </c>
      <c r="H417" s="23" t="n">
        <v>0.08160000000000001</v>
      </c>
      <c r="I417" s="23" t="n">
        <v>0.0585</v>
      </c>
      <c r="J417" s="23" t="n">
        <v>0.0241</v>
      </c>
      <c r="K417" s="23" t="n">
        <v>0.0327</v>
      </c>
      <c r="L417" s="23" t="n">
        <v>0.0529</v>
      </c>
      <c r="M417" s="23" t="n">
        <v>0.0357</v>
      </c>
      <c r="N417" s="21" t="n">
        <v>190.3268</v>
      </c>
      <c r="O417" s="21" t="n">
        <v>618.3904</v>
      </c>
      <c r="P417" s="23" t="n">
        <v>0.1474</v>
      </c>
      <c r="Q417" s="23" t="n">
        <v>0.2015</v>
      </c>
      <c r="R417" s="24" t="n">
        <v>71</v>
      </c>
    </row>
    <row r="418">
      <c r="A418" s="25" t="inlineStr">
        <is>
          <t>OR</t>
        </is>
      </c>
      <c r="B418" s="25" t="n">
        <v>2020</v>
      </c>
      <c r="C418" s="26" t="n">
        <v>924787</v>
      </c>
      <c r="D418" s="27" t="n">
        <v>3.021447635</v>
      </c>
      <c r="E418" s="28" t="n">
        <v>7471.53</v>
      </c>
      <c r="F418" s="29" t="n">
        <v>0.2617</v>
      </c>
      <c r="G418" s="29" t="n">
        <v>0.2292</v>
      </c>
      <c r="H418" s="29" t="n">
        <v>0.0786</v>
      </c>
      <c r="I418" s="29" t="n">
        <v>0.0571</v>
      </c>
      <c r="J418" s="29" t="n">
        <v>0.0282</v>
      </c>
      <c r="K418" s="29" t="n">
        <v>0.036</v>
      </c>
      <c r="L418" s="29" t="n">
        <v>0.0489</v>
      </c>
      <c r="M418" s="29" t="n">
        <v>0.0404</v>
      </c>
      <c r="N418" s="26" t="n">
        <v>160.5435</v>
      </c>
      <c r="O418" s="26" t="n">
        <v>509.0889</v>
      </c>
      <c r="P418" s="29" t="n">
        <v>0.1477</v>
      </c>
      <c r="Q418" s="29" t="n">
        <v>0.1976</v>
      </c>
      <c r="R418" s="30" t="n">
        <v>71</v>
      </c>
    </row>
    <row r="419">
      <c r="A419" t="inlineStr">
        <is>
          <t>OR</t>
        </is>
      </c>
      <c r="B419" t="n">
        <v>2021</v>
      </c>
      <c r="C419" s="21" t="n">
        <v>941383</v>
      </c>
      <c r="D419" s="22" t="n">
        <v>3.169582475</v>
      </c>
      <c r="E419" s="15" t="n">
        <v>8031.38</v>
      </c>
      <c r="F419" s="23" t="n">
        <v>0.2504</v>
      </c>
      <c r="G419" s="23" t="n">
        <v>0.2398</v>
      </c>
      <c r="H419" s="23" t="n">
        <v>0.0873</v>
      </c>
      <c r="I419" s="23" t="n">
        <v>0.0508</v>
      </c>
      <c r="J419" s="23" t="n">
        <v>0.028</v>
      </c>
      <c r="K419" s="23" t="n">
        <v>0.0347</v>
      </c>
      <c r="L419" s="23" t="n">
        <v>0.048</v>
      </c>
      <c r="M419" s="23" t="n">
        <v>0.0374</v>
      </c>
      <c r="N419" s="21" t="n">
        <v>155.9128</v>
      </c>
      <c r="O419" s="21" t="n">
        <v>534.0783</v>
      </c>
      <c r="P419" s="23" t="n">
        <v>0.1502</v>
      </c>
      <c r="Q419" s="23" t="n">
        <v>0.201</v>
      </c>
      <c r="R419" s="24" t="n">
        <v>71</v>
      </c>
    </row>
    <row r="420">
      <c r="A420" s="25" t="inlineStr">
        <is>
          <t>OR</t>
        </is>
      </c>
      <c r="B420" s="25" t="n">
        <v>2022</v>
      </c>
      <c r="C420" s="26" t="n">
        <v>955849</v>
      </c>
      <c r="D420" s="27" t="n">
        <v>3.183653933</v>
      </c>
      <c r="E420" s="28" t="n">
        <v>8377.18</v>
      </c>
      <c r="F420" s="29" t="n">
        <v>0.2541</v>
      </c>
      <c r="G420" s="29" t="n">
        <v>0.2472</v>
      </c>
      <c r="H420" s="29" t="n">
        <v>0.0834</v>
      </c>
      <c r="I420" s="29" t="n">
        <v>0.0504</v>
      </c>
      <c r="J420" s="29" t="n">
        <v>0.0312</v>
      </c>
      <c r="K420" s="29" t="n">
        <v>0.034</v>
      </c>
      <c r="L420" s="29" t="n">
        <v>0.0471</v>
      </c>
      <c r="M420" s="29" t="n">
        <v>0.0354</v>
      </c>
      <c r="N420" s="26" t="n">
        <v>158.018</v>
      </c>
      <c r="O420" s="26" t="n">
        <v>561.0161000000001</v>
      </c>
      <c r="P420" s="29" t="n">
        <v>0.1445</v>
      </c>
      <c r="Q420" s="29" t="n">
        <v>0.1992</v>
      </c>
      <c r="R420" s="30" t="n">
        <v>72</v>
      </c>
    </row>
    <row r="421">
      <c r="A421" t="inlineStr">
        <is>
          <t>OR</t>
        </is>
      </c>
      <c r="B421" t="n">
        <v>2023</v>
      </c>
      <c r="C421" s="21" t="n">
        <v>969192</v>
      </c>
      <c r="D421" s="22" t="n">
        <v>3.301396199</v>
      </c>
      <c r="E421" s="15" t="n">
        <v>9018.73</v>
      </c>
      <c r="F421" s="23" t="n">
        <v>0.2413</v>
      </c>
      <c r="G421" s="23" t="n">
        <v>0.2497</v>
      </c>
      <c r="H421" s="23" t="n">
        <v>0.0796</v>
      </c>
      <c r="I421" s="23" t="n">
        <v>0.0491</v>
      </c>
      <c r="J421" s="23" t="n">
        <v>0.0486</v>
      </c>
      <c r="K421" s="23" t="n">
        <v>0.0323</v>
      </c>
      <c r="L421" s="23" t="n">
        <v>0.0451</v>
      </c>
      <c r="M421" s="23" t="n">
        <v>0.0367</v>
      </c>
      <c r="N421" s="21" t="n">
        <v>160.2907</v>
      </c>
      <c r="O421" s="21" t="n">
        <v>562.8422</v>
      </c>
      <c r="P421" s="23" t="n">
        <v>0.1458</v>
      </c>
      <c r="Q421" s="23" t="n">
        <v>0.1997</v>
      </c>
      <c r="R421" s="24" t="n">
        <v>72</v>
      </c>
    </row>
    <row r="422">
      <c r="A422" s="25" t="inlineStr">
        <is>
          <t>OR</t>
        </is>
      </c>
      <c r="B422" s="25" t="n">
        <v>2024</v>
      </c>
      <c r="C422" s="26" t="n">
        <v>984611</v>
      </c>
      <c r="D422" s="27" t="n">
        <v>3.423475624</v>
      </c>
      <c r="E422" s="28" t="n">
        <v>9538.559999999999</v>
      </c>
      <c r="F422" s="29" t="n">
        <v>0.233</v>
      </c>
      <c r="G422" s="29" t="n">
        <v>0.2537</v>
      </c>
      <c r="H422" s="29" t="n">
        <v>0.0779</v>
      </c>
      <c r="I422" s="29" t="n">
        <v>0.0505</v>
      </c>
      <c r="J422" s="29" t="n">
        <v>0.0536</v>
      </c>
      <c r="K422" s="29" t="n">
        <v>0.0313</v>
      </c>
      <c r="L422" s="29" t="n">
        <v>0.0428</v>
      </c>
      <c r="M422" s="29" t="n">
        <v>0.0364</v>
      </c>
      <c r="N422" s="26" t="n">
        <v>163.7017</v>
      </c>
      <c r="O422" s="26" t="n">
        <v>576.603</v>
      </c>
      <c r="P422" s="29" t="n">
        <v>0.1558</v>
      </c>
      <c r="Q422" s="29" t="n">
        <v>0.1902</v>
      </c>
      <c r="R422" s="30" t="n">
        <v>72</v>
      </c>
    </row>
    <row r="423">
      <c r="A423" t="inlineStr">
        <is>
          <t>PA</t>
        </is>
      </c>
      <c r="B423" t="n">
        <v>2014</v>
      </c>
      <c r="C423" s="21" t="n">
        <v>2616369</v>
      </c>
      <c r="D423" s="22" t="n">
        <v>12.597338773</v>
      </c>
      <c r="E423" s="15" t="n">
        <v>9484.6</v>
      </c>
      <c r="F423" s="23" t="n">
        <v>0.2877</v>
      </c>
      <c r="G423" s="23" t="n">
        <v>0.1445</v>
      </c>
      <c r="H423" s="23" t="n">
        <v>0.1056</v>
      </c>
      <c r="I423" s="23" t="n">
        <v>0.0931</v>
      </c>
      <c r="J423" s="23" t="n">
        <v>0.0215</v>
      </c>
      <c r="K423" s="23" t="n">
        <v>0.0476</v>
      </c>
      <c r="L423" s="23" t="n">
        <v>0.0508</v>
      </c>
      <c r="M423" s="23" t="n">
        <v>0.0313</v>
      </c>
      <c r="N423" s="21" t="n">
        <v>304.029</v>
      </c>
      <c r="O423" s="21" t="n">
        <v>674.2406</v>
      </c>
      <c r="P423" s="23" t="n">
        <v>0.1797</v>
      </c>
      <c r="Q423" s="23" t="n">
        <v>0.2059</v>
      </c>
      <c r="R423" s="24" t="n">
        <v>72</v>
      </c>
    </row>
    <row r="424">
      <c r="A424" s="25" t="inlineStr">
        <is>
          <t>PA</t>
        </is>
      </c>
      <c r="B424" s="25" t="n">
        <v>2015</v>
      </c>
      <c r="C424" s="26" t="n">
        <v>2661938</v>
      </c>
      <c r="D424" s="27" t="n">
        <v>13.099737037</v>
      </c>
      <c r="E424" s="28" t="n">
        <v>9755.77</v>
      </c>
      <c r="F424" s="29" t="n">
        <v>0.2826</v>
      </c>
      <c r="G424" s="29" t="n">
        <v>0.1508</v>
      </c>
      <c r="H424" s="29" t="n">
        <v>0.1062</v>
      </c>
      <c r="I424" s="29" t="n">
        <v>0.08939999999999999</v>
      </c>
      <c r="J424" s="29" t="n">
        <v>0.0227</v>
      </c>
      <c r="K424" s="29" t="n">
        <v>0.0482</v>
      </c>
      <c r="L424" s="29" t="n">
        <v>0.0501</v>
      </c>
      <c r="M424" s="29" t="n">
        <v>0.0307</v>
      </c>
      <c r="N424" s="26" t="n">
        <v>300.1442</v>
      </c>
      <c r="O424" s="26" t="n">
        <v>681.0335</v>
      </c>
      <c r="P424" s="29" t="n">
        <v>0.1785</v>
      </c>
      <c r="Q424" s="29" t="n">
        <v>0.2033</v>
      </c>
      <c r="R424" s="30" t="n">
        <v>72</v>
      </c>
    </row>
    <row r="425">
      <c r="A425" t="inlineStr">
        <is>
          <t>PA</t>
        </is>
      </c>
      <c r="B425" t="n">
        <v>2016</v>
      </c>
      <c r="C425" s="21" t="n">
        <v>2707567</v>
      </c>
      <c r="D425" s="22" t="n">
        <v>13.251278861</v>
      </c>
      <c r="E425" s="15" t="n">
        <v>9714.219999999999</v>
      </c>
      <c r="F425" s="23" t="n">
        <v>0.2848</v>
      </c>
      <c r="G425" s="23" t="n">
        <v>0.1579</v>
      </c>
      <c r="H425" s="23" t="n">
        <v>0.1048</v>
      </c>
      <c r="I425" s="23" t="n">
        <v>0.08069999999999999</v>
      </c>
      <c r="J425" s="23" t="n">
        <v>0.0192</v>
      </c>
      <c r="K425" s="23" t="n">
        <v>0.0485</v>
      </c>
      <c r="L425" s="23" t="n">
        <v>0.0504</v>
      </c>
      <c r="M425" s="23" t="n">
        <v>0.0309</v>
      </c>
      <c r="N425" s="21" t="n">
        <v>290.7014</v>
      </c>
      <c r="O425" s="21" t="n">
        <v>667.1356</v>
      </c>
      <c r="P425" s="23" t="n">
        <v>0.1782</v>
      </c>
      <c r="Q425" s="23" t="n">
        <v>0.1996</v>
      </c>
      <c r="R425" s="24" t="n">
        <v>72</v>
      </c>
    </row>
    <row r="426">
      <c r="A426" s="25" t="inlineStr">
        <is>
          <t>PA</t>
        </is>
      </c>
      <c r="B426" s="25" t="n">
        <v>2017</v>
      </c>
      <c r="C426" s="26" t="n">
        <v>2753347</v>
      </c>
      <c r="D426" s="27" t="n">
        <v>13.386590317</v>
      </c>
      <c r="E426" s="28" t="n">
        <v>9884.280000000001</v>
      </c>
      <c r="F426" s="29" t="n">
        <v>0.2841</v>
      </c>
      <c r="G426" s="29" t="n">
        <v>0.1681</v>
      </c>
      <c r="H426" s="29" t="n">
        <v>0.104</v>
      </c>
      <c r="I426" s="29" t="n">
        <v>0.0764</v>
      </c>
      <c r="J426" s="29" t="n">
        <v>0.0175</v>
      </c>
      <c r="K426" s="29" t="n">
        <v>0.0475</v>
      </c>
      <c r="L426" s="29" t="n">
        <v>0.0495</v>
      </c>
      <c r="M426" s="29" t="n">
        <v>0.0304</v>
      </c>
      <c r="N426" s="26" t="n">
        <v>290.9833</v>
      </c>
      <c r="O426" s="26" t="n">
        <v>662.7348</v>
      </c>
      <c r="P426" s="29" t="n">
        <v>0.1811</v>
      </c>
      <c r="Q426" s="29" t="n">
        <v>0.1951</v>
      </c>
      <c r="R426" s="30" t="n">
        <v>72</v>
      </c>
    </row>
    <row r="427">
      <c r="A427" t="inlineStr">
        <is>
          <t>PA</t>
        </is>
      </c>
      <c r="B427" t="n">
        <v>2018</v>
      </c>
      <c r="C427" s="21" t="n">
        <v>2813225</v>
      </c>
      <c r="D427" s="22" t="n">
        <v>13.807660383</v>
      </c>
      <c r="E427" s="15" t="n">
        <v>10145.47</v>
      </c>
      <c r="F427" s="23" t="n">
        <v>0.2773</v>
      </c>
      <c r="G427" s="23" t="n">
        <v>0.1798</v>
      </c>
      <c r="H427" s="23" t="n">
        <v>0.1022</v>
      </c>
      <c r="I427" s="23" t="n">
        <v>0.0713</v>
      </c>
      <c r="J427" s="23" t="n">
        <v>0.0187</v>
      </c>
      <c r="K427" s="23" t="n">
        <v>0.0449</v>
      </c>
      <c r="L427" s="23" t="n">
        <v>0.0482</v>
      </c>
      <c r="M427" s="23" t="n">
        <v>0.0298</v>
      </c>
      <c r="N427" s="21" t="n">
        <v>281.5908</v>
      </c>
      <c r="O427" s="21" t="n">
        <v>646.3848</v>
      </c>
      <c r="P427" s="23" t="n">
        <v>0.1818</v>
      </c>
      <c r="Q427" s="23" t="n">
        <v>0.1866</v>
      </c>
      <c r="R427" s="24" t="n">
        <v>72</v>
      </c>
    </row>
    <row r="428">
      <c r="A428" s="25" t="inlineStr">
        <is>
          <t>PA</t>
        </is>
      </c>
      <c r="B428" s="25" t="n">
        <v>2019</v>
      </c>
      <c r="C428" s="26" t="n">
        <v>2862871</v>
      </c>
      <c r="D428" s="27" t="n">
        <v>13.960812686</v>
      </c>
      <c r="E428" s="28" t="n">
        <v>10337.79</v>
      </c>
      <c r="F428" s="29" t="n">
        <v>0.2743</v>
      </c>
      <c r="G428" s="29" t="n">
        <v>0.1862</v>
      </c>
      <c r="H428" s="29" t="n">
        <v>0.1017</v>
      </c>
      <c r="I428" s="29" t="n">
        <v>0.06569999999999999</v>
      </c>
      <c r="J428" s="29" t="n">
        <v>0.0195</v>
      </c>
      <c r="K428" s="29" t="n">
        <v>0.0436</v>
      </c>
      <c r="L428" s="29" t="n">
        <v>0.0485</v>
      </c>
      <c r="M428" s="29" t="n">
        <v>0.0298</v>
      </c>
      <c r="N428" s="26" t="n">
        <v>275.0425</v>
      </c>
      <c r="O428" s="26" t="n">
        <v>633.5815</v>
      </c>
      <c r="P428" s="29" t="n">
        <v>0.1812</v>
      </c>
      <c r="Q428" s="29" t="n">
        <v>0.1764</v>
      </c>
      <c r="R428" s="30" t="n">
        <v>72</v>
      </c>
    </row>
    <row r="429">
      <c r="A429" t="inlineStr">
        <is>
          <t>PA</t>
        </is>
      </c>
      <c r="B429" t="n">
        <v>2020</v>
      </c>
      <c r="C429" s="21" t="n">
        <v>2909434</v>
      </c>
      <c r="D429" s="22" t="n">
        <v>12.813814221</v>
      </c>
      <c r="E429" s="15" t="n">
        <v>9686.440000000001</v>
      </c>
      <c r="F429" s="23" t="n">
        <v>0.2708</v>
      </c>
      <c r="G429" s="23" t="n">
        <v>0.1839</v>
      </c>
      <c r="H429" s="23" t="n">
        <v>0.09660000000000001</v>
      </c>
      <c r="I429" s="23" t="n">
        <v>0.0703</v>
      </c>
      <c r="J429" s="23" t="n">
        <v>0.0225</v>
      </c>
      <c r="K429" s="23" t="n">
        <v>0.045</v>
      </c>
      <c r="L429" s="23" t="n">
        <v>0.0439</v>
      </c>
      <c r="M429" s="23" t="n">
        <v>0.0322</v>
      </c>
      <c r="N429" s="21" t="n">
        <v>236.2569</v>
      </c>
      <c r="O429" s="21" t="n">
        <v>512.3561999999999</v>
      </c>
      <c r="P429" s="23" t="n">
        <v>0.1809</v>
      </c>
      <c r="Q429" s="23" t="n">
        <v>0.1624</v>
      </c>
      <c r="R429" s="24" t="n">
        <v>72</v>
      </c>
    </row>
    <row r="430">
      <c r="A430" s="25" t="inlineStr">
        <is>
          <t>PA</t>
        </is>
      </c>
      <c r="B430" s="25" t="n">
        <v>2021</v>
      </c>
      <c r="C430" s="26" t="n">
        <v>2940835</v>
      </c>
      <c r="D430" s="27" t="n">
        <v>13.437197678</v>
      </c>
      <c r="E430" s="28" t="n">
        <v>10549.44</v>
      </c>
      <c r="F430" s="29" t="n">
        <v>0.2649</v>
      </c>
      <c r="G430" s="29" t="n">
        <v>0.1967</v>
      </c>
      <c r="H430" s="29" t="n">
        <v>0.1059</v>
      </c>
      <c r="I430" s="29" t="n">
        <v>0.0644</v>
      </c>
      <c r="J430" s="29" t="n">
        <v>0.0233</v>
      </c>
      <c r="K430" s="29" t="n">
        <v>0.0421</v>
      </c>
      <c r="L430" s="29" t="n">
        <v>0.0449</v>
      </c>
      <c r="M430" s="29" t="n">
        <v>0.0291</v>
      </c>
      <c r="N430" s="26" t="n">
        <v>237.9755</v>
      </c>
      <c r="O430" s="26" t="n">
        <v>538.1539</v>
      </c>
      <c r="P430" s="29" t="n">
        <v>0.1808</v>
      </c>
      <c r="Q430" s="29" t="n">
        <v>0.15</v>
      </c>
      <c r="R430" s="30" t="n">
        <v>72</v>
      </c>
    </row>
    <row r="431">
      <c r="A431" t="inlineStr">
        <is>
          <t>PA</t>
        </is>
      </c>
      <c r="B431" t="n">
        <v>2022</v>
      </c>
      <c r="C431" s="21" t="n">
        <v>2981655</v>
      </c>
      <c r="D431" s="22" t="n">
        <v>13.176567307</v>
      </c>
      <c r="E431" s="15" t="n">
        <v>10774.65</v>
      </c>
      <c r="F431" s="23" t="n">
        <v>0.2558</v>
      </c>
      <c r="G431" s="23" t="n">
        <v>0.2071</v>
      </c>
      <c r="H431" s="23" t="n">
        <v>0.1043</v>
      </c>
      <c r="I431" s="23" t="n">
        <v>0.06560000000000001</v>
      </c>
      <c r="J431" s="23" t="n">
        <v>0.0251</v>
      </c>
      <c r="K431" s="23" t="n">
        <v>0.0408</v>
      </c>
      <c r="L431" s="23" t="n">
        <v>0.0447</v>
      </c>
      <c r="M431" s="23" t="n">
        <v>0.0284</v>
      </c>
      <c r="N431" s="21" t="n">
        <v>231.0301</v>
      </c>
      <c r="O431" s="21" t="n">
        <v>539.5164</v>
      </c>
      <c r="P431" s="23" t="n">
        <v>0.18</v>
      </c>
      <c r="Q431" s="23" t="n">
        <v>0.143</v>
      </c>
      <c r="R431" s="24" t="n">
        <v>73</v>
      </c>
    </row>
    <row r="432">
      <c r="A432" s="25" t="inlineStr">
        <is>
          <t>PA</t>
        </is>
      </c>
      <c r="B432" s="25" t="n">
        <v>2023</v>
      </c>
      <c r="C432" s="26" t="n">
        <v>3027857</v>
      </c>
      <c r="D432" s="27" t="n">
        <v>13.77953254</v>
      </c>
      <c r="E432" s="28" t="n">
        <v>11692.86</v>
      </c>
      <c r="F432" s="29" t="n">
        <v>0.2472</v>
      </c>
      <c r="G432" s="29" t="n">
        <v>0.2131</v>
      </c>
      <c r="H432" s="29" t="n">
        <v>0.1007</v>
      </c>
      <c r="I432" s="29" t="n">
        <v>0.0602</v>
      </c>
      <c r="J432" s="29" t="n">
        <v>0.0421</v>
      </c>
      <c r="K432" s="29" t="n">
        <v>0.0375</v>
      </c>
      <c r="L432" s="29" t="n">
        <v>0.0424</v>
      </c>
      <c r="M432" s="29" t="n">
        <v>0.0272</v>
      </c>
      <c r="N432" s="26" t="n">
        <v>237.973</v>
      </c>
      <c r="O432" s="26" t="n">
        <v>558.5023</v>
      </c>
      <c r="P432" s="29" t="n">
        <v>0.1834</v>
      </c>
      <c r="Q432" s="29" t="n">
        <v>0.1335</v>
      </c>
      <c r="R432" s="30" t="n">
        <v>73</v>
      </c>
    </row>
    <row r="433">
      <c r="A433" t="inlineStr">
        <is>
          <t>PA</t>
        </is>
      </c>
      <c r="B433" t="n">
        <v>2024</v>
      </c>
      <c r="C433" s="21" t="n">
        <v>3082406</v>
      </c>
      <c r="D433" s="22" t="n">
        <v>13.990255057</v>
      </c>
      <c r="E433" s="15" t="n">
        <v>12223.21</v>
      </c>
      <c r="F433" s="23" t="n">
        <v>0.2435</v>
      </c>
      <c r="G433" s="23" t="n">
        <v>0.2213</v>
      </c>
      <c r="H433" s="23" t="n">
        <v>0.0999</v>
      </c>
      <c r="I433" s="23" t="n">
        <v>0.0631</v>
      </c>
      <c r="J433" s="23" t="n">
        <v>0.0339</v>
      </c>
      <c r="K433" s="23" t="n">
        <v>0.0364</v>
      </c>
      <c r="L433" s="23" t="n">
        <v>0.0412</v>
      </c>
      <c r="M433" s="23" t="n">
        <v>0.0277</v>
      </c>
      <c r="N433" s="21" t="n">
        <v>239.5198</v>
      </c>
      <c r="O433" s="21" t="n">
        <v>564.9867</v>
      </c>
      <c r="P433" s="23" t="n">
        <v>0.1862</v>
      </c>
      <c r="Q433" s="23" t="n">
        <v>0.1121</v>
      </c>
      <c r="R433" s="24" t="n">
        <v>73</v>
      </c>
    </row>
    <row r="434">
      <c r="A434" s="25" t="inlineStr">
        <is>
          <t>RI</t>
        </is>
      </c>
      <c r="B434" s="25" t="n">
        <v>2014</v>
      </c>
      <c r="C434" s="26" t="n">
        <v>209541</v>
      </c>
      <c r="D434" s="27" t="n">
        <v>0.942485069</v>
      </c>
      <c r="E434" s="28" t="n">
        <v>8836.93</v>
      </c>
      <c r="F434" s="29" t="n">
        <v>0.2965</v>
      </c>
      <c r="G434" s="29" t="n">
        <v>0.1461</v>
      </c>
      <c r="H434" s="29" t="n">
        <v>0.1125</v>
      </c>
      <c r="I434" s="29" t="n">
        <v>0.1027</v>
      </c>
      <c r="J434" s="29" t="n">
        <v>0.0186</v>
      </c>
      <c r="K434" s="29" t="n">
        <v>0.0571</v>
      </c>
      <c r="L434" s="29" t="n">
        <v>0.0475</v>
      </c>
      <c r="M434" s="29" t="n">
        <v>0.0355</v>
      </c>
      <c r="N434" s="26" t="n">
        <v>310.4085</v>
      </c>
      <c r="O434" s="26" t="n">
        <v>770.2549</v>
      </c>
      <c r="P434" s="29" t="n">
        <v>0.1903</v>
      </c>
      <c r="Q434" s="29" t="n">
        <v>0.2779</v>
      </c>
      <c r="R434" s="30" t="n">
        <v>70</v>
      </c>
    </row>
    <row r="435">
      <c r="A435" t="inlineStr">
        <is>
          <t>RI</t>
        </is>
      </c>
      <c r="B435" t="n">
        <v>2015</v>
      </c>
      <c r="C435" s="21" t="n">
        <v>213357</v>
      </c>
      <c r="D435" s="22" t="n">
        <v>0.999930825</v>
      </c>
      <c r="E435" s="15" t="n">
        <v>9067.780000000001</v>
      </c>
      <c r="F435" s="23" t="n">
        <v>0.2976</v>
      </c>
      <c r="G435" s="23" t="n">
        <v>0.152</v>
      </c>
      <c r="H435" s="23" t="n">
        <v>0.1119</v>
      </c>
      <c r="I435" s="23" t="n">
        <v>0.09719999999999999</v>
      </c>
      <c r="J435" s="23" t="n">
        <v>0.0196</v>
      </c>
      <c r="K435" s="23" t="n">
        <v>0.0587</v>
      </c>
      <c r="L435" s="23" t="n">
        <v>0.0472</v>
      </c>
      <c r="M435" s="23" t="n">
        <v>0.0343</v>
      </c>
      <c r="N435" s="21" t="n">
        <v>314.202</v>
      </c>
      <c r="O435" s="21" t="n">
        <v>767.867</v>
      </c>
      <c r="P435" s="23" t="n">
        <v>0.1927</v>
      </c>
      <c r="Q435" s="23" t="n">
        <v>0.2685</v>
      </c>
      <c r="R435" s="24" t="n">
        <v>70</v>
      </c>
    </row>
    <row r="436">
      <c r="A436" s="25" t="inlineStr">
        <is>
          <t>RI</t>
        </is>
      </c>
      <c r="B436" s="25" t="n">
        <v>2016</v>
      </c>
      <c r="C436" s="26" t="n">
        <v>217264</v>
      </c>
      <c r="D436" s="27" t="n">
        <v>0.926334027</v>
      </c>
      <c r="E436" s="28" t="n">
        <v>8907.4</v>
      </c>
      <c r="F436" s="29" t="n">
        <v>0.2926</v>
      </c>
      <c r="G436" s="29" t="n">
        <v>0.1632</v>
      </c>
      <c r="H436" s="29" t="n">
        <v>0.1112</v>
      </c>
      <c r="I436" s="29" t="n">
        <v>0.08699999999999999</v>
      </c>
      <c r="J436" s="29" t="n">
        <v>0.0162</v>
      </c>
      <c r="K436" s="29" t="n">
        <v>0.0602</v>
      </c>
      <c r="L436" s="29" t="n">
        <v>0.0487</v>
      </c>
      <c r="M436" s="29" t="n">
        <v>0.0387</v>
      </c>
      <c r="N436" s="26" t="n">
        <v>294.3382</v>
      </c>
      <c r="O436" s="26" t="n">
        <v>720.1335</v>
      </c>
      <c r="P436" s="29" t="n">
        <v>0.1822</v>
      </c>
      <c r="Q436" s="29" t="n">
        <v>0.2085</v>
      </c>
      <c r="R436" s="30" t="n">
        <v>71</v>
      </c>
    </row>
    <row r="437">
      <c r="A437" t="inlineStr">
        <is>
          <t>RI</t>
        </is>
      </c>
      <c r="B437" t="n">
        <v>2017</v>
      </c>
      <c r="C437" s="21" t="n">
        <v>221438</v>
      </c>
      <c r="D437" s="22" t="n">
        <v>0.864189703</v>
      </c>
      <c r="E437" s="15" t="n">
        <v>9098.27</v>
      </c>
      <c r="F437" s="23" t="n">
        <v>0.2937</v>
      </c>
      <c r="G437" s="23" t="n">
        <v>0.1634</v>
      </c>
      <c r="H437" s="23" t="n">
        <v>0.1079</v>
      </c>
      <c r="I437" s="23" t="n">
        <v>0.0906</v>
      </c>
      <c r="J437" s="23" t="n">
        <v>0.0143</v>
      </c>
      <c r="K437" s="23" t="n">
        <v>0.0621</v>
      </c>
      <c r="L437" s="23" t="n">
        <v>0.0482</v>
      </c>
      <c r="M437" s="23" t="n">
        <v>0.0392</v>
      </c>
      <c r="N437" s="21" t="n">
        <v>292.2176</v>
      </c>
      <c r="O437" s="21" t="n">
        <v>669.1759</v>
      </c>
      <c r="P437" s="23" t="n">
        <v>0.1879</v>
      </c>
      <c r="Q437" s="23" t="n">
        <v>0.1392</v>
      </c>
      <c r="R437" s="24" t="n">
        <v>72</v>
      </c>
    </row>
    <row r="438">
      <c r="A438" s="25" t="inlineStr">
        <is>
          <t>RI</t>
        </is>
      </c>
      <c r="B438" s="25" t="n">
        <v>2018</v>
      </c>
      <c r="C438" s="26" t="n">
        <v>226533</v>
      </c>
      <c r="D438" s="27" t="n">
        <v>0.871196842</v>
      </c>
      <c r="E438" s="28" t="n">
        <v>9259.58</v>
      </c>
      <c r="F438" s="29" t="n">
        <v>0.2748</v>
      </c>
      <c r="G438" s="29" t="n">
        <v>0.1859</v>
      </c>
      <c r="H438" s="29" t="n">
        <v>0.1061</v>
      </c>
      <c r="I438" s="29" t="n">
        <v>0.08309999999999999</v>
      </c>
      <c r="J438" s="29" t="n">
        <v>0.0158</v>
      </c>
      <c r="K438" s="29" t="n">
        <v>0.06320000000000001</v>
      </c>
      <c r="L438" s="29" t="n">
        <v>0.0492</v>
      </c>
      <c r="M438" s="29" t="n">
        <v>0.0375</v>
      </c>
      <c r="N438" s="26" t="n">
        <v>279.3083</v>
      </c>
      <c r="O438" s="26" t="n">
        <v>647.5033</v>
      </c>
      <c r="P438" s="29" t="n">
        <v>0.1899</v>
      </c>
      <c r="Q438" s="29" t="n">
        <v>0.1456</v>
      </c>
      <c r="R438" s="30" t="n">
        <v>72</v>
      </c>
    </row>
    <row r="439">
      <c r="A439" t="inlineStr">
        <is>
          <t>RI</t>
        </is>
      </c>
      <c r="B439" t="n">
        <v>2019</v>
      </c>
      <c r="C439" s="21" t="n">
        <v>230907</v>
      </c>
      <c r="D439" s="22" t="n">
        <v>0.9085561640000001</v>
      </c>
      <c r="E439" s="15" t="n">
        <v>9604.700000000001</v>
      </c>
      <c r="F439" s="23" t="n">
        <v>0.2765</v>
      </c>
      <c r="G439" s="23" t="n">
        <v>0.191</v>
      </c>
      <c r="H439" s="23" t="n">
        <v>0.1051</v>
      </c>
      <c r="I439" s="23" t="n">
        <v>0.0795</v>
      </c>
      <c r="J439" s="23" t="n">
        <v>0.0161</v>
      </c>
      <c r="K439" s="23" t="n">
        <v>0.0617</v>
      </c>
      <c r="L439" s="23" t="n">
        <v>0.0484</v>
      </c>
      <c r="M439" s="23" t="n">
        <v>0.0395</v>
      </c>
      <c r="N439" s="21" t="n">
        <v>275.9448</v>
      </c>
      <c r="O439" s="21" t="n">
        <v>639.0718000000001</v>
      </c>
      <c r="P439" s="23" t="n">
        <v>0.1894</v>
      </c>
      <c r="Q439" s="23" t="n">
        <v>0.1472</v>
      </c>
      <c r="R439" s="24" t="n">
        <v>72</v>
      </c>
    </row>
    <row r="440">
      <c r="A440" s="25" t="inlineStr">
        <is>
          <t>RI</t>
        </is>
      </c>
      <c r="B440" s="25" t="n">
        <v>2020</v>
      </c>
      <c r="C440" s="26" t="n">
        <v>235526</v>
      </c>
      <c r="D440" s="27" t="n">
        <v>0.830671816</v>
      </c>
      <c r="E440" s="28" t="n">
        <v>8962.99</v>
      </c>
      <c r="F440" s="29" t="n">
        <v>0.2692</v>
      </c>
      <c r="G440" s="29" t="n">
        <v>0.193</v>
      </c>
      <c r="H440" s="29" t="n">
        <v>0.1017</v>
      </c>
      <c r="I440" s="29" t="n">
        <v>0.0868</v>
      </c>
      <c r="J440" s="29" t="n">
        <v>0.0188</v>
      </c>
      <c r="K440" s="29" t="n">
        <v>0.0626</v>
      </c>
      <c r="L440" s="29" t="n">
        <v>0.0446</v>
      </c>
      <c r="M440" s="29" t="n">
        <v>0.0446</v>
      </c>
      <c r="N440" s="26" t="n">
        <v>229.3317</v>
      </c>
      <c r="O440" s="26" t="n">
        <v>507.0999</v>
      </c>
      <c r="P440" s="29" t="n">
        <v>0.1829</v>
      </c>
      <c r="Q440" s="29" t="n">
        <v>0.1556</v>
      </c>
      <c r="R440" s="30" t="n">
        <v>72</v>
      </c>
    </row>
    <row r="441">
      <c r="A441" t="inlineStr">
        <is>
          <t>RI</t>
        </is>
      </c>
      <c r="B441" t="n">
        <v>2021</v>
      </c>
      <c r="C441" s="21" t="n">
        <v>238846</v>
      </c>
      <c r="D441" s="22" t="n">
        <v>0.859425274</v>
      </c>
      <c r="E441" s="15" t="n">
        <v>9926.83</v>
      </c>
      <c r="F441" s="23" t="n">
        <v>0.2596</v>
      </c>
      <c r="G441" s="23" t="n">
        <v>0.2023</v>
      </c>
      <c r="H441" s="23" t="n">
        <v>0.1088</v>
      </c>
      <c r="I441" s="23" t="n">
        <v>0.0848</v>
      </c>
      <c r="J441" s="23" t="n">
        <v>0.0176</v>
      </c>
      <c r="K441" s="23" t="n">
        <v>0.0589</v>
      </c>
      <c r="L441" s="23" t="n">
        <v>0.0456</v>
      </c>
      <c r="M441" s="23" t="n">
        <v>0.0404</v>
      </c>
      <c r="N441" s="21" t="n">
        <v>232.0158</v>
      </c>
      <c r="O441" s="21" t="n">
        <v>524.6489</v>
      </c>
      <c r="P441" s="23" t="n">
        <v>0.1798</v>
      </c>
      <c r="Q441" s="23" t="n">
        <v>0.1441</v>
      </c>
      <c r="R441" s="24" t="n">
        <v>73</v>
      </c>
    </row>
    <row r="442">
      <c r="A442" s="25" t="inlineStr">
        <is>
          <t>RI</t>
        </is>
      </c>
      <c r="B442" s="25" t="n">
        <v>2022</v>
      </c>
      <c r="C442" s="26" t="n">
        <v>243636</v>
      </c>
      <c r="D442" s="27" t="n">
        <v>0.814090936</v>
      </c>
      <c r="E442" s="28" t="n">
        <v>10141.91</v>
      </c>
      <c r="F442" s="29" t="n">
        <v>0.2519</v>
      </c>
      <c r="G442" s="29" t="n">
        <v>0.211</v>
      </c>
      <c r="H442" s="29" t="n">
        <v>0.1077</v>
      </c>
      <c r="I442" s="29" t="n">
        <v>0.089</v>
      </c>
      <c r="J442" s="29" t="n">
        <v>0.0196</v>
      </c>
      <c r="K442" s="29" t="n">
        <v>0.0581</v>
      </c>
      <c r="L442" s="29" t="n">
        <v>0.0461</v>
      </c>
      <c r="M442" s="29" t="n">
        <v>0.0376</v>
      </c>
      <c r="N442" s="26" t="n">
        <v>220.4809</v>
      </c>
      <c r="O442" s="26" t="n">
        <v>537.5109</v>
      </c>
      <c r="P442" s="29" t="n">
        <v>0.1746</v>
      </c>
      <c r="Q442" s="29" t="n">
        <v>0.1274</v>
      </c>
      <c r="R442" s="30" t="n">
        <v>73</v>
      </c>
    </row>
    <row r="443">
      <c r="A443" t="inlineStr">
        <is>
          <t>RI</t>
        </is>
      </c>
      <c r="B443" t="n">
        <v>2023</v>
      </c>
      <c r="C443" s="21" t="n">
        <v>248622</v>
      </c>
      <c r="D443" s="22" t="n">
        <v>0.851575291</v>
      </c>
      <c r="E443" s="15" t="n">
        <v>11224.29</v>
      </c>
      <c r="F443" s="23" t="n">
        <v>0.2389</v>
      </c>
      <c r="G443" s="23" t="n">
        <v>0.2185</v>
      </c>
      <c r="H443" s="23" t="n">
        <v>0.1029</v>
      </c>
      <c r="I443" s="23" t="n">
        <v>0.0818</v>
      </c>
      <c r="J443" s="23" t="n">
        <v>0.0341</v>
      </c>
      <c r="K443" s="23" t="n">
        <v>0.0521</v>
      </c>
      <c r="L443" s="23" t="n">
        <v>0.0439</v>
      </c>
      <c r="M443" s="23" t="n">
        <v>0.038</v>
      </c>
      <c r="N443" s="21" t="n">
        <v>229.5931</v>
      </c>
      <c r="O443" s="21" t="n">
        <v>564.1171000000001</v>
      </c>
      <c r="P443" s="23" t="n">
        <v>0.1741</v>
      </c>
      <c r="Q443" s="23" t="n">
        <v>0.1167</v>
      </c>
      <c r="R443" s="24" t="n">
        <v>74</v>
      </c>
    </row>
    <row r="444">
      <c r="A444" s="25" t="inlineStr">
        <is>
          <t>RI</t>
        </is>
      </c>
      <c r="B444" s="25" t="n">
        <v>2024</v>
      </c>
      <c r="C444" s="26" t="n">
        <v>254043</v>
      </c>
      <c r="D444" s="27" t="n">
        <v>0.860956914</v>
      </c>
      <c r="E444" s="28" t="n">
        <v>11641.47</v>
      </c>
      <c r="F444" s="29" t="n">
        <v>0.2392</v>
      </c>
      <c r="G444" s="29" t="n">
        <v>0.2342</v>
      </c>
      <c r="H444" s="29" t="n">
        <v>0.1034</v>
      </c>
      <c r="I444" s="29" t="n">
        <v>0.0791</v>
      </c>
      <c r="J444" s="29" t="n">
        <v>0.0274</v>
      </c>
      <c r="K444" s="29" t="n">
        <v>0.0503</v>
      </c>
      <c r="L444" s="29" t="n">
        <v>0.0423</v>
      </c>
      <c r="M444" s="29" t="n">
        <v>0.0397</v>
      </c>
      <c r="N444" s="26" t="n">
        <v>234.3691</v>
      </c>
      <c r="O444" s="26" t="n">
        <v>582.5491</v>
      </c>
      <c r="P444" s="29" t="n">
        <v>0.18</v>
      </c>
      <c r="Q444" s="29" t="n">
        <v>0.1057</v>
      </c>
      <c r="R444" s="30" t="n">
        <v>74</v>
      </c>
    </row>
    <row r="445">
      <c r="A445" t="inlineStr">
        <is>
          <t>SC</t>
        </is>
      </c>
      <c r="B445" t="n">
        <v>2014</v>
      </c>
      <c r="C445" s="21" t="n">
        <v>953629</v>
      </c>
      <c r="D445" s="22" t="n">
        <v>5.918145202</v>
      </c>
      <c r="E445" s="15" t="n">
        <v>8856.52</v>
      </c>
      <c r="F445" s="23" t="n">
        <v>0.2816</v>
      </c>
      <c r="G445" s="23" t="n">
        <v>0.1389</v>
      </c>
      <c r="H445" s="23" t="n">
        <v>0.0974</v>
      </c>
      <c r="I445" s="23" t="n">
        <v>0.0674</v>
      </c>
      <c r="J445" s="23" t="n">
        <v>0.0273</v>
      </c>
      <c r="K445" s="23" t="n">
        <v>0.0392</v>
      </c>
      <c r="L445" s="23" t="n">
        <v>0.0557</v>
      </c>
      <c r="M445" s="23" t="n">
        <v>0.0526</v>
      </c>
      <c r="N445" s="21" t="n">
        <v>259.0909</v>
      </c>
      <c r="O445" s="21" t="n">
        <v>643.2803</v>
      </c>
      <c r="P445" s="23" t="n">
        <v>0.17</v>
      </c>
      <c r="Q445" s="23" t="n">
        <v>0.1562</v>
      </c>
      <c r="R445" s="24" t="n">
        <v>71</v>
      </c>
    </row>
    <row r="446">
      <c r="A446" s="25" t="inlineStr">
        <is>
          <t>SC</t>
        </is>
      </c>
      <c r="B446" s="25" t="n">
        <v>2015</v>
      </c>
      <c r="C446" s="26" t="n">
        <v>987819</v>
      </c>
      <c r="D446" s="27" t="n">
        <v>6.182214978</v>
      </c>
      <c r="E446" s="28" t="n">
        <v>9069.49</v>
      </c>
      <c r="F446" s="29" t="n">
        <v>0.2749</v>
      </c>
      <c r="G446" s="29" t="n">
        <v>0.1435</v>
      </c>
      <c r="H446" s="29" t="n">
        <v>0.0989</v>
      </c>
      <c r="I446" s="29" t="n">
        <v>0.0667</v>
      </c>
      <c r="J446" s="29" t="n">
        <v>0.0277</v>
      </c>
      <c r="K446" s="29" t="n">
        <v>0.042</v>
      </c>
      <c r="L446" s="29" t="n">
        <v>0.0552</v>
      </c>
      <c r="M446" s="29" t="n">
        <v>0.0499</v>
      </c>
      <c r="N446" s="26" t="n">
        <v>256.1872</v>
      </c>
      <c r="O446" s="26" t="n">
        <v>657.1085</v>
      </c>
      <c r="P446" s="29" t="n">
        <v>0.1681</v>
      </c>
      <c r="Q446" s="29" t="n">
        <v>0.1487</v>
      </c>
      <c r="R446" s="30" t="n">
        <v>71</v>
      </c>
    </row>
    <row r="447">
      <c r="A447" t="inlineStr">
        <is>
          <t>SC</t>
        </is>
      </c>
      <c r="B447" t="n">
        <v>2016</v>
      </c>
      <c r="C447" s="21" t="n">
        <v>1019854</v>
      </c>
      <c r="D447" s="22" t="n">
        <v>6.194615329</v>
      </c>
      <c r="E447" s="15" t="n">
        <v>9014.309999999999</v>
      </c>
      <c r="F447" s="23" t="n">
        <v>0.2793</v>
      </c>
      <c r="G447" s="23" t="n">
        <v>0.1477</v>
      </c>
      <c r="H447" s="23" t="n">
        <v>0.0984</v>
      </c>
      <c r="I447" s="23" t="n">
        <v>0.0621</v>
      </c>
      <c r="J447" s="23" t="n">
        <v>0.0229</v>
      </c>
      <c r="K447" s="23" t="n">
        <v>0.0422</v>
      </c>
      <c r="L447" s="23" t="n">
        <v>0.0553</v>
      </c>
      <c r="M447" s="23" t="n">
        <v>0.0467</v>
      </c>
      <c r="N447" s="21" t="n">
        <v>249.8232</v>
      </c>
      <c r="O447" s="21" t="n">
        <v>654.8665999999999</v>
      </c>
      <c r="P447" s="23" t="n">
        <v>0.1702</v>
      </c>
      <c r="Q447" s="23" t="n">
        <v>0.1316</v>
      </c>
      <c r="R447" s="24" t="n">
        <v>71</v>
      </c>
    </row>
    <row r="448">
      <c r="A448" s="25" t="inlineStr">
        <is>
          <t>SC</t>
        </is>
      </c>
      <c r="B448" s="25" t="n">
        <v>2017</v>
      </c>
      <c r="C448" s="26" t="n">
        <v>1050911</v>
      </c>
      <c r="D448" s="27" t="n">
        <v>6.411659648</v>
      </c>
      <c r="E448" s="28" t="n">
        <v>9287.790000000001</v>
      </c>
      <c r="F448" s="29" t="n">
        <v>0.2724</v>
      </c>
      <c r="G448" s="29" t="n">
        <v>0.158</v>
      </c>
      <c r="H448" s="29" t="n">
        <v>0.0974</v>
      </c>
      <c r="I448" s="29" t="n">
        <v>0.0588</v>
      </c>
      <c r="J448" s="29" t="n">
        <v>0.0218</v>
      </c>
      <c r="K448" s="29" t="n">
        <v>0.0431</v>
      </c>
      <c r="L448" s="29" t="n">
        <v>0.0543</v>
      </c>
      <c r="M448" s="29" t="n">
        <v>0.0456</v>
      </c>
      <c r="N448" s="26" t="n">
        <v>244.6403</v>
      </c>
      <c r="O448" s="26" t="n">
        <v>653.6623</v>
      </c>
      <c r="P448" s="29" t="n">
        <v>0.1687</v>
      </c>
      <c r="Q448" s="29" t="n">
        <v>0.126</v>
      </c>
      <c r="R448" s="30" t="n">
        <v>71</v>
      </c>
    </row>
    <row r="449">
      <c r="A449" t="inlineStr">
        <is>
          <t>SC</t>
        </is>
      </c>
      <c r="B449" t="n">
        <v>2018</v>
      </c>
      <c r="C449" s="21" t="n">
        <v>1088543</v>
      </c>
      <c r="D449" s="22" t="n">
        <v>6.703959316</v>
      </c>
      <c r="E449" s="15" t="n">
        <v>9616.65</v>
      </c>
      <c r="F449" s="23" t="n">
        <v>0.2583</v>
      </c>
      <c r="G449" s="23" t="n">
        <v>0.1661</v>
      </c>
      <c r="H449" s="23" t="n">
        <v>0.097</v>
      </c>
      <c r="I449" s="23" t="n">
        <v>0.0541</v>
      </c>
      <c r="J449" s="23" t="n">
        <v>0.0236</v>
      </c>
      <c r="K449" s="23" t="n">
        <v>0.0444</v>
      </c>
      <c r="L449" s="23" t="n">
        <v>0.054</v>
      </c>
      <c r="M449" s="23" t="n">
        <v>0.0443</v>
      </c>
      <c r="N449" s="21" t="n">
        <v>234.5579</v>
      </c>
      <c r="O449" s="21" t="n">
        <v>633.812</v>
      </c>
      <c r="P449" s="23" t="n">
        <v>0.1691</v>
      </c>
      <c r="Q449" s="23" t="n">
        <v>0.1177</v>
      </c>
      <c r="R449" s="24" t="n">
        <v>71</v>
      </c>
    </row>
    <row r="450">
      <c r="A450" s="25" t="inlineStr">
        <is>
          <t>SC</t>
        </is>
      </c>
      <c r="B450" s="25" t="n">
        <v>2019</v>
      </c>
      <c r="C450" s="26" t="n">
        <v>1124041</v>
      </c>
      <c r="D450" s="27" t="n">
        <v>6.914835396</v>
      </c>
      <c r="E450" s="28" t="n">
        <v>9977.76</v>
      </c>
      <c r="F450" s="29" t="n">
        <v>0.2515</v>
      </c>
      <c r="G450" s="29" t="n">
        <v>0.1672</v>
      </c>
      <c r="H450" s="29" t="n">
        <v>0.09760000000000001</v>
      </c>
      <c r="I450" s="29" t="n">
        <v>0.0502</v>
      </c>
      <c r="J450" s="29" t="n">
        <v>0.0227</v>
      </c>
      <c r="K450" s="29" t="n">
        <v>0.0451</v>
      </c>
      <c r="L450" s="29" t="n">
        <v>0.0548</v>
      </c>
      <c r="M450" s="29" t="n">
        <v>0.0449</v>
      </c>
      <c r="N450" s="26" t="n">
        <v>231.3942</v>
      </c>
      <c r="O450" s="26" t="n">
        <v>624.9573</v>
      </c>
      <c r="P450" s="29" t="n">
        <v>0.1681</v>
      </c>
      <c r="Q450" s="29" t="n">
        <v>0.1102</v>
      </c>
      <c r="R450" s="30" t="n">
        <v>72</v>
      </c>
    </row>
    <row r="451">
      <c r="A451" t="inlineStr">
        <is>
          <t>SC</t>
        </is>
      </c>
      <c r="B451" t="n">
        <v>2020</v>
      </c>
      <c r="C451" s="21" t="n">
        <v>1156883</v>
      </c>
      <c r="D451" s="22" t="n">
        <v>6.602790779</v>
      </c>
      <c r="E451" s="15" t="n">
        <v>9746.85</v>
      </c>
      <c r="F451" s="23" t="n">
        <v>0.2427</v>
      </c>
      <c r="G451" s="23" t="n">
        <v>0.1662</v>
      </c>
      <c r="H451" s="23" t="n">
        <v>0.0929</v>
      </c>
      <c r="I451" s="23" t="n">
        <v>0.0558</v>
      </c>
      <c r="J451" s="23" t="n">
        <v>0.0254</v>
      </c>
      <c r="K451" s="23" t="n">
        <v>0.0473</v>
      </c>
      <c r="L451" s="23" t="n">
        <v>0.0502</v>
      </c>
      <c r="M451" s="23" t="n">
        <v>0.0476</v>
      </c>
      <c r="N451" s="21" t="n">
        <v>201.1505</v>
      </c>
      <c r="O451" s="21" t="n">
        <v>510.8351</v>
      </c>
      <c r="P451" s="23" t="n">
        <v>0.1727</v>
      </c>
      <c r="Q451" s="23" t="n">
        <v>0.09859999999999999</v>
      </c>
      <c r="R451" s="24" t="n">
        <v>72</v>
      </c>
    </row>
    <row r="452">
      <c r="A452" s="25" t="inlineStr">
        <is>
          <t>SC</t>
        </is>
      </c>
      <c r="B452" s="25" t="n">
        <v>2021</v>
      </c>
      <c r="C452" s="26" t="n">
        <v>1187968</v>
      </c>
      <c r="D452" s="27" t="n">
        <v>6.692180875</v>
      </c>
      <c r="E452" s="28" t="n">
        <v>10308.99</v>
      </c>
      <c r="F452" s="29" t="n">
        <v>0.2323</v>
      </c>
      <c r="G452" s="29" t="n">
        <v>0.1753</v>
      </c>
      <c r="H452" s="29" t="n">
        <v>0.104</v>
      </c>
      <c r="I452" s="29" t="n">
        <v>0.0477</v>
      </c>
      <c r="J452" s="29" t="n">
        <v>0.0249</v>
      </c>
      <c r="K452" s="29" t="n">
        <v>0.047</v>
      </c>
      <c r="L452" s="29" t="n">
        <v>0.0507</v>
      </c>
      <c r="M452" s="29" t="n">
        <v>0.0454</v>
      </c>
      <c r="N452" s="26" t="n">
        <v>194.174</v>
      </c>
      <c r="O452" s="26" t="n">
        <v>524.2914</v>
      </c>
      <c r="P452" s="29" t="n">
        <v>0.1708</v>
      </c>
      <c r="Q452" s="29" t="n">
        <v>0.08400000000000001</v>
      </c>
      <c r="R452" s="30" t="n">
        <v>72</v>
      </c>
    </row>
    <row r="453">
      <c r="A453" t="inlineStr">
        <is>
          <t>SC</t>
        </is>
      </c>
      <c r="B453" t="n">
        <v>2022</v>
      </c>
      <c r="C453" s="21" t="n">
        <v>1218835</v>
      </c>
      <c r="D453" s="22" t="n">
        <v>6.711448344</v>
      </c>
      <c r="E453" s="15" t="n">
        <v>10726.27</v>
      </c>
      <c r="F453" s="23" t="n">
        <v>0.2242</v>
      </c>
      <c r="G453" s="23" t="n">
        <v>0.1806</v>
      </c>
      <c r="H453" s="23" t="n">
        <v>0.102</v>
      </c>
      <c r="I453" s="23" t="n">
        <v>0.0507</v>
      </c>
      <c r="J453" s="23" t="n">
        <v>0.0269</v>
      </c>
      <c r="K453" s="23" t="n">
        <v>0.0453</v>
      </c>
      <c r="L453" s="23" t="n">
        <v>0.05</v>
      </c>
      <c r="M453" s="23" t="n">
        <v>0.0463</v>
      </c>
      <c r="N453" s="21" t="n">
        <v>194.8931</v>
      </c>
      <c r="O453" s="21" t="n">
        <v>540.8677</v>
      </c>
      <c r="P453" s="23" t="n">
        <v>0.1669</v>
      </c>
      <c r="Q453" s="23" t="n">
        <v>0.0746</v>
      </c>
      <c r="R453" s="24" t="n">
        <v>73</v>
      </c>
    </row>
    <row r="454">
      <c r="A454" s="25" t="inlineStr">
        <is>
          <t>SC</t>
        </is>
      </c>
      <c r="B454" s="25" t="n">
        <v>2023</v>
      </c>
      <c r="C454" s="26" t="n">
        <v>1249321</v>
      </c>
      <c r="D454" s="27" t="n">
        <v>6.968415834</v>
      </c>
      <c r="E454" s="28" t="n">
        <v>11477.82</v>
      </c>
      <c r="F454" s="29" t="n">
        <v>0.2196</v>
      </c>
      <c r="G454" s="29" t="n">
        <v>0.1896</v>
      </c>
      <c r="H454" s="29" t="n">
        <v>0.1019</v>
      </c>
      <c r="I454" s="29" t="n">
        <v>0.0453</v>
      </c>
      <c r="J454" s="29" t="n">
        <v>0.0342</v>
      </c>
      <c r="K454" s="29" t="n">
        <v>0.0428</v>
      </c>
      <c r="L454" s="29" t="n">
        <v>0.0482</v>
      </c>
      <c r="M454" s="29" t="n">
        <v>0.0459</v>
      </c>
      <c r="N454" s="26" t="n">
        <v>201.2073</v>
      </c>
      <c r="O454" s="26" t="n">
        <v>559.779</v>
      </c>
      <c r="P454" s="29" t="n">
        <v>0.167</v>
      </c>
      <c r="Q454" s="29" t="n">
        <v>0.0669</v>
      </c>
      <c r="R454" s="30" t="n">
        <v>73</v>
      </c>
    </row>
    <row r="455">
      <c r="A455" t="inlineStr">
        <is>
          <t>SC</t>
        </is>
      </c>
      <c r="B455" t="n">
        <v>2024</v>
      </c>
      <c r="C455" s="21" t="n">
        <v>1283954</v>
      </c>
      <c r="D455" s="22" t="n">
        <v>7.264139032</v>
      </c>
      <c r="E455" s="15" t="n">
        <v>12172</v>
      </c>
      <c r="F455" s="23" t="n">
        <v>0.2127</v>
      </c>
      <c r="G455" s="23" t="n">
        <v>0.1918</v>
      </c>
      <c r="H455" s="23" t="n">
        <v>0.1019</v>
      </c>
      <c r="I455" s="23" t="n">
        <v>0.0433</v>
      </c>
      <c r="J455" s="23" t="n">
        <v>0.0426</v>
      </c>
      <c r="K455" s="23" t="n">
        <v>0.0407</v>
      </c>
      <c r="L455" s="23" t="n">
        <v>0.046</v>
      </c>
      <c r="M455" s="23" t="n">
        <v>0.0473</v>
      </c>
      <c r="N455" s="21" t="n">
        <v>201.3586</v>
      </c>
      <c r="O455" s="21" t="n">
        <v>565.0973</v>
      </c>
      <c r="P455" s="23" t="n">
        <v>0.1675</v>
      </c>
      <c r="Q455" s="23" t="n">
        <v>0.0607</v>
      </c>
      <c r="R455" s="24" t="n">
        <v>73</v>
      </c>
    </row>
    <row r="456">
      <c r="A456" s="25" t="inlineStr">
        <is>
          <t>SD</t>
        </is>
      </c>
      <c r="B456" s="25" t="n">
        <v>2014</v>
      </c>
      <c r="C456" s="26" t="n">
        <v>159626</v>
      </c>
      <c r="D456" s="27" t="n">
        <v>0.913593641</v>
      </c>
      <c r="E456" s="28" t="n">
        <v>7719.55</v>
      </c>
      <c r="F456" s="29" t="n">
        <v>0.2918</v>
      </c>
      <c r="G456" s="29" t="n">
        <v>0.2495</v>
      </c>
      <c r="H456" s="29" t="n">
        <v>0.075</v>
      </c>
      <c r="I456" s="29" t="n">
        <v>0.1147</v>
      </c>
      <c r="J456" s="29" t="n">
        <v>0.0276</v>
      </c>
      <c r="K456" s="29" t="n">
        <v>0.0179</v>
      </c>
      <c r="L456" s="29" t="n">
        <v>0.0525</v>
      </c>
      <c r="M456" s="29" t="n">
        <v>0.0188</v>
      </c>
      <c r="N456" s="26" t="n">
        <v>246.7553</v>
      </c>
      <c r="O456" s="26" t="n">
        <v>490.773</v>
      </c>
      <c r="P456" s="29" t="n">
        <v>0.1453</v>
      </c>
      <c r="Q456" s="29" t="n">
        <v>0.1718</v>
      </c>
      <c r="R456" s="30" t="n">
        <v>72</v>
      </c>
    </row>
    <row r="457">
      <c r="A457" t="inlineStr">
        <is>
          <t>SD</t>
        </is>
      </c>
      <c r="B457" t="n">
        <v>2015</v>
      </c>
      <c r="C457" s="21" t="n">
        <v>164087</v>
      </c>
      <c r="D457" s="22" t="n">
        <v>0.950413222</v>
      </c>
      <c r="E457" s="15" t="n">
        <v>8067.75</v>
      </c>
      <c r="F457" s="23" t="n">
        <v>0.2876</v>
      </c>
      <c r="G457" s="23" t="n">
        <v>0.2549</v>
      </c>
      <c r="H457" s="23" t="n">
        <v>0.0732</v>
      </c>
      <c r="I457" s="23" t="n">
        <v>0.1126</v>
      </c>
      <c r="J457" s="23" t="n">
        <v>0.0288</v>
      </c>
      <c r="K457" s="23" t="n">
        <v>0.0175</v>
      </c>
      <c r="L457" s="23" t="n">
        <v>0.0511</v>
      </c>
      <c r="M457" s="23" t="n">
        <v>0.0184</v>
      </c>
      <c r="N457" s="21" t="n">
        <v>246.1377</v>
      </c>
      <c r="O457" s="21" t="n">
        <v>507.8435</v>
      </c>
      <c r="P457" s="23" t="n">
        <v>0.1445</v>
      </c>
      <c r="Q457" s="23" t="n">
        <v>0.1702</v>
      </c>
      <c r="R457" s="24" t="n">
        <v>72</v>
      </c>
    </row>
    <row r="458">
      <c r="A458" s="25" t="inlineStr">
        <is>
          <t>SD</t>
        </is>
      </c>
      <c r="B458" s="25" t="n">
        <v>2016</v>
      </c>
      <c r="C458" s="26" t="n">
        <v>168903</v>
      </c>
      <c r="D458" s="27" t="n">
        <v>0.956045286</v>
      </c>
      <c r="E458" s="28" t="n">
        <v>8159.05</v>
      </c>
      <c r="F458" s="29" t="n">
        <v>0.2843</v>
      </c>
      <c r="G458" s="29" t="n">
        <v>0.2717</v>
      </c>
      <c r="H458" s="29" t="n">
        <v>0.0698</v>
      </c>
      <c r="I458" s="29" t="n">
        <v>0.1067</v>
      </c>
      <c r="J458" s="29" t="n">
        <v>0.0228</v>
      </c>
      <c r="K458" s="29" t="n">
        <v>0.0164</v>
      </c>
      <c r="L458" s="29" t="n">
        <v>0.0504</v>
      </c>
      <c r="M458" s="29" t="n">
        <v>0.0202</v>
      </c>
      <c r="N458" s="26" t="n">
        <v>241.3634</v>
      </c>
      <c r="O458" s="26" t="n">
        <v>511.9222</v>
      </c>
      <c r="P458" s="29" t="n">
        <v>0.1529</v>
      </c>
      <c r="Q458" s="29" t="n">
        <v>0.1692</v>
      </c>
      <c r="R458" s="30" t="n">
        <v>72</v>
      </c>
    </row>
    <row r="459">
      <c r="A459" t="inlineStr">
        <is>
          <t>SD</t>
        </is>
      </c>
      <c r="B459" t="n">
        <v>2017</v>
      </c>
      <c r="C459" s="21" t="n">
        <v>173490</v>
      </c>
      <c r="D459" s="22" t="n">
        <v>1.014820573</v>
      </c>
      <c r="E459" s="15" t="n">
        <v>8405.77</v>
      </c>
      <c r="F459" s="23" t="n">
        <v>0.2787</v>
      </c>
      <c r="G459" s="23" t="n">
        <v>0.2827</v>
      </c>
      <c r="H459" s="23" t="n">
        <v>0.0693</v>
      </c>
      <c r="I459" s="23" t="n">
        <v>0.106</v>
      </c>
      <c r="J459" s="23" t="n">
        <v>0.0211</v>
      </c>
      <c r="K459" s="23" t="n">
        <v>0.0163</v>
      </c>
      <c r="L459" s="23" t="n">
        <v>0.0492</v>
      </c>
      <c r="M459" s="23" t="n">
        <v>0.0189</v>
      </c>
      <c r="N459" s="21" t="n">
        <v>241.1103</v>
      </c>
      <c r="O459" s="21" t="n">
        <v>520.8359</v>
      </c>
      <c r="P459" s="23" t="n">
        <v>0.1538</v>
      </c>
      <c r="Q459" s="23" t="n">
        <v>0.1656</v>
      </c>
      <c r="R459" s="24" t="n">
        <v>72</v>
      </c>
    </row>
    <row r="460">
      <c r="A460" s="25" t="inlineStr">
        <is>
          <t>SD</t>
        </is>
      </c>
      <c r="B460" s="25" t="n">
        <v>2018</v>
      </c>
      <c r="C460" s="26" t="n">
        <v>179369</v>
      </c>
      <c r="D460" s="27" t="n">
        <v>1.09762114</v>
      </c>
      <c r="E460" s="28" t="n">
        <v>8774.65</v>
      </c>
      <c r="F460" s="29" t="n">
        <v>0.2653</v>
      </c>
      <c r="G460" s="29" t="n">
        <v>0.2982</v>
      </c>
      <c r="H460" s="29" t="n">
        <v>0.0672</v>
      </c>
      <c r="I460" s="29" t="n">
        <v>0.1031</v>
      </c>
      <c r="J460" s="29" t="n">
        <v>0.0221</v>
      </c>
      <c r="K460" s="29" t="n">
        <v>0.0165</v>
      </c>
      <c r="L460" s="29" t="n">
        <v>0.0489</v>
      </c>
      <c r="M460" s="29" t="n">
        <v>0.0196</v>
      </c>
      <c r="N460" s="26" t="n">
        <v>233.8077</v>
      </c>
      <c r="O460" s="26" t="n">
        <v>521.1688</v>
      </c>
      <c r="P460" s="29" t="n">
        <v>0.1531</v>
      </c>
      <c r="Q460" s="29" t="n">
        <v>0.1584</v>
      </c>
      <c r="R460" s="30" t="n">
        <v>72</v>
      </c>
    </row>
    <row r="461">
      <c r="A461" t="inlineStr">
        <is>
          <t>SD</t>
        </is>
      </c>
      <c r="B461" t="n">
        <v>2019</v>
      </c>
      <c r="C461" s="21" t="n">
        <v>184176</v>
      </c>
      <c r="D461" s="22" t="n">
        <v>1.1493343</v>
      </c>
      <c r="E461" s="15" t="n">
        <v>9037.99</v>
      </c>
      <c r="F461" s="23" t="n">
        <v>0.2703</v>
      </c>
      <c r="G461" s="23" t="n">
        <v>0.2975</v>
      </c>
      <c r="H461" s="23" t="n">
        <v>0.06619999999999999</v>
      </c>
      <c r="I461" s="23" t="n">
        <v>0.0988</v>
      </c>
      <c r="J461" s="23" t="n">
        <v>0.0231</v>
      </c>
      <c r="K461" s="23" t="n">
        <v>0.0156</v>
      </c>
      <c r="L461" s="23" t="n">
        <v>0.0488</v>
      </c>
      <c r="M461" s="23" t="n">
        <v>0.0222</v>
      </c>
      <c r="N461" s="21" t="n">
        <v>228.7858</v>
      </c>
      <c r="O461" s="21" t="n">
        <v>505.9174</v>
      </c>
      <c r="P461" s="23" t="n">
        <v>0.1525</v>
      </c>
      <c r="Q461" s="23" t="n">
        <v>0.1517</v>
      </c>
      <c r="R461" s="24" t="n">
        <v>72</v>
      </c>
    </row>
    <row r="462">
      <c r="A462" s="25" t="inlineStr">
        <is>
          <t>SD</t>
        </is>
      </c>
      <c r="B462" s="25" t="n">
        <v>2020</v>
      </c>
      <c r="C462" s="26" t="n">
        <v>189041</v>
      </c>
      <c r="D462" s="27" t="n">
        <v>1.126575009</v>
      </c>
      <c r="E462" s="28" t="n">
        <v>8857.98</v>
      </c>
      <c r="F462" s="29" t="n">
        <v>0.258</v>
      </c>
      <c r="G462" s="29" t="n">
        <v>0.3031</v>
      </c>
      <c r="H462" s="29" t="n">
        <v>0.0602</v>
      </c>
      <c r="I462" s="29" t="n">
        <v>0.1117</v>
      </c>
      <c r="J462" s="29" t="n">
        <v>0.0269</v>
      </c>
      <c r="K462" s="29" t="n">
        <v>0.016</v>
      </c>
      <c r="L462" s="29" t="n">
        <v>0.0428</v>
      </c>
      <c r="M462" s="29" t="n">
        <v>0.025</v>
      </c>
      <c r="N462" s="26" t="n">
        <v>200.3114</v>
      </c>
      <c r="O462" s="26" t="n">
        <v>437.5383</v>
      </c>
      <c r="P462" s="29" t="n">
        <v>0.152</v>
      </c>
      <c r="Q462" s="29" t="n">
        <v>0.1446</v>
      </c>
      <c r="R462" s="30" t="n">
        <v>72</v>
      </c>
    </row>
    <row r="463">
      <c r="A463" t="inlineStr">
        <is>
          <t>SD</t>
        </is>
      </c>
      <c r="B463" t="n">
        <v>2021</v>
      </c>
      <c r="C463" s="21" t="n">
        <v>193275</v>
      </c>
      <c r="D463" s="22" t="n">
        <v>1.21232381</v>
      </c>
      <c r="E463" s="15" t="n">
        <v>9788.25</v>
      </c>
      <c r="F463" s="23" t="n">
        <v>0.245</v>
      </c>
      <c r="G463" s="23" t="n">
        <v>0.3259</v>
      </c>
      <c r="H463" s="23" t="n">
        <v>0.0664</v>
      </c>
      <c r="I463" s="23" t="n">
        <v>0.0924</v>
      </c>
      <c r="J463" s="23" t="n">
        <v>0.0265</v>
      </c>
      <c r="K463" s="23" t="n">
        <v>0.0158</v>
      </c>
      <c r="L463" s="23" t="n">
        <v>0.0435</v>
      </c>
      <c r="M463" s="23" t="n">
        <v>0.0219</v>
      </c>
      <c r="N463" s="21" t="n">
        <v>201.3564</v>
      </c>
      <c r="O463" s="21" t="n">
        <v>469.8962</v>
      </c>
      <c r="P463" s="23" t="n">
        <v>0.1534</v>
      </c>
      <c r="Q463" s="23" t="n">
        <v>0.1386</v>
      </c>
      <c r="R463" s="24" t="n">
        <v>72</v>
      </c>
    </row>
    <row r="464">
      <c r="A464" s="25" t="inlineStr">
        <is>
          <t>SD</t>
        </is>
      </c>
      <c r="B464" s="25" t="n">
        <v>2022</v>
      </c>
      <c r="C464" s="26" t="n">
        <v>198253</v>
      </c>
      <c r="D464" s="27" t="n">
        <v>1.198383378</v>
      </c>
      <c r="E464" s="28" t="n">
        <v>9991.77</v>
      </c>
      <c r="F464" s="29" t="n">
        <v>0.2373</v>
      </c>
      <c r="G464" s="29" t="n">
        <v>0.3321</v>
      </c>
      <c r="H464" s="29" t="n">
        <v>0.064</v>
      </c>
      <c r="I464" s="29" t="n">
        <v>0.0954</v>
      </c>
      <c r="J464" s="29" t="n">
        <v>0.027</v>
      </c>
      <c r="K464" s="29" t="n">
        <v>0.0165</v>
      </c>
      <c r="L464" s="29" t="n">
        <v>0.0427</v>
      </c>
      <c r="M464" s="29" t="n">
        <v>0.0216</v>
      </c>
      <c r="N464" s="26" t="n">
        <v>191.6006</v>
      </c>
      <c r="O464" s="26" t="n">
        <v>468.0874</v>
      </c>
      <c r="P464" s="29" t="n">
        <v>0.1508</v>
      </c>
      <c r="Q464" s="29" t="n">
        <v>0.1338</v>
      </c>
      <c r="R464" s="30" t="n">
        <v>72</v>
      </c>
    </row>
    <row r="465">
      <c r="A465" t="inlineStr">
        <is>
          <t>SD</t>
        </is>
      </c>
      <c r="B465" t="n">
        <v>2023</v>
      </c>
      <c r="C465" s="21" t="n">
        <v>202604</v>
      </c>
      <c r="D465" s="22" t="n">
        <v>1.230441887</v>
      </c>
      <c r="E465" s="15" t="n">
        <v>10700.05</v>
      </c>
      <c r="F465" s="23" t="n">
        <v>0.2274</v>
      </c>
      <c r="G465" s="23" t="n">
        <v>0.3328</v>
      </c>
      <c r="H465" s="23" t="n">
        <v>0.0624</v>
      </c>
      <c r="I465" s="23" t="n">
        <v>0.0917</v>
      </c>
      <c r="J465" s="23" t="n">
        <v>0.0351</v>
      </c>
      <c r="K465" s="23" t="n">
        <v>0.0143</v>
      </c>
      <c r="L465" s="23" t="n">
        <v>0.0419</v>
      </c>
      <c r="M465" s="23" t="n">
        <v>0.0226</v>
      </c>
      <c r="N465" s="21" t="n">
        <v>195.4276</v>
      </c>
      <c r="O465" s="21" t="n">
        <v>469.4854</v>
      </c>
      <c r="P465" s="23" t="n">
        <v>0.1547</v>
      </c>
      <c r="Q465" s="23" t="n">
        <v>0.1215</v>
      </c>
      <c r="R465" s="24" t="n">
        <v>72</v>
      </c>
    </row>
    <row r="466">
      <c r="A466" s="25" t="inlineStr">
        <is>
          <t>SD</t>
        </is>
      </c>
      <c r="B466" s="25" t="n">
        <v>2024</v>
      </c>
      <c r="C466" s="26" t="n">
        <v>207341</v>
      </c>
      <c r="D466" s="27" t="n">
        <v>1.268526058</v>
      </c>
      <c r="E466" s="28" t="n">
        <v>11262.97</v>
      </c>
      <c r="F466" s="29" t="n">
        <v>0.2188</v>
      </c>
      <c r="G466" s="29" t="n">
        <v>0.3424</v>
      </c>
      <c r="H466" s="29" t="n">
        <v>0.06279999999999999</v>
      </c>
      <c r="I466" s="29" t="n">
        <v>0.0859</v>
      </c>
      <c r="J466" s="29" t="n">
        <v>0.0294</v>
      </c>
      <c r="K466" s="29" t="n">
        <v>0.0134</v>
      </c>
      <c r="L466" s="29" t="n">
        <v>0.0398</v>
      </c>
      <c r="M466" s="29" t="n">
        <v>0.0236</v>
      </c>
      <c r="N466" s="26" t="n">
        <v>195.5642</v>
      </c>
      <c r="O466" s="26" t="n">
        <v>481.7896</v>
      </c>
      <c r="P466" s="29" t="n">
        <v>0.1588</v>
      </c>
      <c r="Q466" s="29" t="n">
        <v>0.1111</v>
      </c>
      <c r="R466" s="30" t="n">
        <v>73</v>
      </c>
    </row>
    <row r="467">
      <c r="A467" t="inlineStr">
        <is>
          <t>TN</t>
        </is>
      </c>
      <c r="B467" t="n">
        <v>2014</v>
      </c>
      <c r="C467" s="21" t="n">
        <v>1267265</v>
      </c>
      <c r="D467" s="22" t="n">
        <v>7.105678585</v>
      </c>
      <c r="E467" s="15" t="n">
        <v>9419.879999999999</v>
      </c>
      <c r="F467" s="23" t="n">
        <v>0.2846</v>
      </c>
      <c r="G467" s="23" t="n">
        <v>0.1321</v>
      </c>
      <c r="H467" s="23" t="n">
        <v>0.1012</v>
      </c>
      <c r="I467" s="23" t="n">
        <v>0.09619999999999999</v>
      </c>
      <c r="J467" s="23" t="n">
        <v>0.0295</v>
      </c>
      <c r="K467" s="23" t="n">
        <v>0.06510000000000001</v>
      </c>
      <c r="L467" s="23" t="n">
        <v>0.0498</v>
      </c>
      <c r="M467" s="23" t="n">
        <v>0.0294</v>
      </c>
      <c r="N467" s="21" t="n">
        <v>296.3061</v>
      </c>
      <c r="O467" s="21" t="n">
        <v>710.8857</v>
      </c>
      <c r="P467" s="23" t="n">
        <v>0.1829</v>
      </c>
      <c r="Q467" s="23" t="n">
        <v>0.2165</v>
      </c>
      <c r="R467" s="24" t="n">
        <v>71</v>
      </c>
    </row>
    <row r="468">
      <c r="A468" s="25" t="inlineStr">
        <is>
          <t>TN</t>
        </is>
      </c>
      <c r="B468" s="25" t="n">
        <v>2015</v>
      </c>
      <c r="C468" s="26" t="n">
        <v>1298123</v>
      </c>
      <c r="D468" s="27" t="n">
        <v>7.264879863</v>
      </c>
      <c r="E468" s="28" t="n">
        <v>9735.870000000001</v>
      </c>
      <c r="F468" s="29" t="n">
        <v>0.28</v>
      </c>
      <c r="G468" s="29" t="n">
        <v>0.1341</v>
      </c>
      <c r="H468" s="29" t="n">
        <v>0.1011</v>
      </c>
      <c r="I468" s="29" t="n">
        <v>0.095</v>
      </c>
      <c r="J468" s="29" t="n">
        <v>0.0299</v>
      </c>
      <c r="K468" s="29" t="n">
        <v>0.0633</v>
      </c>
      <c r="L468" s="29" t="n">
        <v>0.0489</v>
      </c>
      <c r="M468" s="29" t="n">
        <v>0.03</v>
      </c>
      <c r="N468" s="26" t="n">
        <v>295.0079</v>
      </c>
      <c r="O468" s="26" t="n">
        <v>720.7225</v>
      </c>
      <c r="P468" s="29" t="n">
        <v>0.1825</v>
      </c>
      <c r="Q468" s="29" t="n">
        <v>0.2076</v>
      </c>
      <c r="R468" s="30" t="n">
        <v>71</v>
      </c>
    </row>
    <row r="469">
      <c r="A469" t="inlineStr">
        <is>
          <t>TN</t>
        </is>
      </c>
      <c r="B469" t="n">
        <v>2016</v>
      </c>
      <c r="C469" s="21" t="n">
        <v>1327502</v>
      </c>
      <c r="D469" s="22" t="n">
        <v>7.274165489</v>
      </c>
      <c r="E469" s="15" t="n">
        <v>9749.299999999999</v>
      </c>
      <c r="F469" s="23" t="n">
        <v>0.2847</v>
      </c>
      <c r="G469" s="23" t="n">
        <v>0.137</v>
      </c>
      <c r="H469" s="23" t="n">
        <v>0.0998</v>
      </c>
      <c r="I469" s="23" t="n">
        <v>0.0902</v>
      </c>
      <c r="J469" s="23" t="n">
        <v>0.0243</v>
      </c>
      <c r="K469" s="23" t="n">
        <v>0.0618</v>
      </c>
      <c r="L469" s="23" t="n">
        <v>0.0499</v>
      </c>
      <c r="M469" s="23" t="n">
        <v>0.0314</v>
      </c>
      <c r="N469" s="21" t="n">
        <v>287.3257</v>
      </c>
      <c r="O469" s="21" t="n">
        <v>707.5036</v>
      </c>
      <c r="P469" s="23" t="n">
        <v>0.1808</v>
      </c>
      <c r="Q469" s="23" t="n">
        <v>0.1974</v>
      </c>
      <c r="R469" s="24" t="n">
        <v>71</v>
      </c>
    </row>
    <row r="470">
      <c r="A470" s="25" t="inlineStr">
        <is>
          <t>TN</t>
        </is>
      </c>
      <c r="B470" s="25" t="n">
        <v>2017</v>
      </c>
      <c r="C470" s="26" t="n">
        <v>1354945</v>
      </c>
      <c r="D470" s="27" t="n">
        <v>7.419642292</v>
      </c>
      <c r="E470" s="28" t="n">
        <v>9993.309999999999</v>
      </c>
      <c r="F470" s="29" t="n">
        <v>0.2835</v>
      </c>
      <c r="G470" s="29" t="n">
        <v>0.1432</v>
      </c>
      <c r="H470" s="29" t="n">
        <v>0.0989</v>
      </c>
      <c r="I470" s="29" t="n">
        <v>0.0857</v>
      </c>
      <c r="J470" s="29" t="n">
        <v>0.023</v>
      </c>
      <c r="K470" s="29" t="n">
        <v>0.0601</v>
      </c>
      <c r="L470" s="29" t="n">
        <v>0.0493</v>
      </c>
      <c r="M470" s="29" t="n">
        <v>0.0319</v>
      </c>
      <c r="N470" s="26" t="n">
        <v>286.974</v>
      </c>
      <c r="O470" s="26" t="n">
        <v>695.9032</v>
      </c>
      <c r="P470" s="29" t="n">
        <v>0.181</v>
      </c>
      <c r="Q470" s="29" t="n">
        <v>0.1854</v>
      </c>
      <c r="R470" s="30" t="n">
        <v>71</v>
      </c>
    </row>
    <row r="471">
      <c r="A471" t="inlineStr">
        <is>
          <t>TN</t>
        </is>
      </c>
      <c r="B471" t="n">
        <v>2018</v>
      </c>
      <c r="C471" s="21" t="n">
        <v>1389700</v>
      </c>
      <c r="D471" s="22" t="n">
        <v>7.520952893</v>
      </c>
      <c r="E471" s="15" t="n">
        <v>10214.41</v>
      </c>
      <c r="F471" s="23" t="n">
        <v>0.271</v>
      </c>
      <c r="G471" s="23" t="n">
        <v>0.1509</v>
      </c>
      <c r="H471" s="23" t="n">
        <v>0.09710000000000001</v>
      </c>
      <c r="I471" s="23" t="n">
        <v>0.0808</v>
      </c>
      <c r="J471" s="23" t="n">
        <v>0.0233</v>
      </c>
      <c r="K471" s="23" t="n">
        <v>0.0598</v>
      </c>
      <c r="L471" s="23" t="n">
        <v>0.0495</v>
      </c>
      <c r="M471" s="23" t="n">
        <v>0.0339</v>
      </c>
      <c r="N471" s="21" t="n">
        <v>274.3118</v>
      </c>
      <c r="O471" s="21" t="n">
        <v>669.0352</v>
      </c>
      <c r="P471" s="23" t="n">
        <v>0.1797</v>
      </c>
      <c r="Q471" s="23" t="n">
        <v>0.1654</v>
      </c>
      <c r="R471" s="24" t="n">
        <v>71</v>
      </c>
    </row>
    <row r="472">
      <c r="A472" s="25" t="inlineStr">
        <is>
          <t>TN</t>
        </is>
      </c>
      <c r="B472" s="25" t="n">
        <v>2019</v>
      </c>
      <c r="C472" s="26" t="n">
        <v>1421445</v>
      </c>
      <c r="D472" s="27" t="n">
        <v>7.629886951</v>
      </c>
      <c r="E472" s="28" t="n">
        <v>10512.09</v>
      </c>
      <c r="F472" s="29" t="n">
        <v>0.266</v>
      </c>
      <c r="G472" s="29" t="n">
        <v>0.1495</v>
      </c>
      <c r="H472" s="29" t="n">
        <v>0.0955</v>
      </c>
      <c r="I472" s="29" t="n">
        <v>0.0774</v>
      </c>
      <c r="J472" s="29" t="n">
        <v>0.0228</v>
      </c>
      <c r="K472" s="29" t="n">
        <v>0.058</v>
      </c>
      <c r="L472" s="29" t="n">
        <v>0.0501</v>
      </c>
      <c r="M472" s="29" t="n">
        <v>0.035</v>
      </c>
      <c r="N472" s="26" t="n">
        <v>269.706</v>
      </c>
      <c r="O472" s="26" t="n">
        <v>650.2287</v>
      </c>
      <c r="P472" s="29" t="n">
        <v>0.1788</v>
      </c>
      <c r="Q472" s="29" t="n">
        <v>0.1528</v>
      </c>
      <c r="R472" s="30" t="n">
        <v>72</v>
      </c>
    </row>
    <row r="473">
      <c r="A473" t="inlineStr">
        <is>
          <t>TN</t>
        </is>
      </c>
      <c r="B473" t="n">
        <v>2020</v>
      </c>
      <c r="C473" s="21" t="n">
        <v>1451198</v>
      </c>
      <c r="D473" s="22" t="n">
        <v>7.196813168</v>
      </c>
      <c r="E473" s="15" t="n">
        <v>10130.35</v>
      </c>
      <c r="F473" s="23" t="n">
        <v>0.2594</v>
      </c>
      <c r="G473" s="23" t="n">
        <v>0.1459</v>
      </c>
      <c r="H473" s="23" t="n">
        <v>0.09089999999999999</v>
      </c>
      <c r="I473" s="23" t="n">
        <v>0.0818</v>
      </c>
      <c r="J473" s="23" t="n">
        <v>0.0267</v>
      </c>
      <c r="K473" s="23" t="n">
        <v>0.0593</v>
      </c>
      <c r="L473" s="23" t="n">
        <v>0.0462</v>
      </c>
      <c r="M473" s="23" t="n">
        <v>0.0383</v>
      </c>
      <c r="N473" s="21" t="n">
        <v>232.1046</v>
      </c>
      <c r="O473" s="21" t="n">
        <v>527.307</v>
      </c>
      <c r="P473" s="23" t="n">
        <v>0.181</v>
      </c>
      <c r="Q473" s="23" t="n">
        <v>0.1391</v>
      </c>
      <c r="R473" s="24" t="n">
        <v>72</v>
      </c>
    </row>
    <row r="474">
      <c r="A474" s="25" t="inlineStr">
        <is>
          <t>TN</t>
        </is>
      </c>
      <c r="B474" s="25" t="n">
        <v>2021</v>
      </c>
      <c r="C474" s="26" t="n">
        <v>1476568</v>
      </c>
      <c r="D474" s="27" t="n">
        <v>7.149872682</v>
      </c>
      <c r="E474" s="28" t="n">
        <v>10533.4</v>
      </c>
      <c r="F474" s="29" t="n">
        <v>0.2458</v>
      </c>
      <c r="G474" s="29" t="n">
        <v>0.1575</v>
      </c>
      <c r="H474" s="29" t="n">
        <v>0.1012</v>
      </c>
      <c r="I474" s="29" t="n">
        <v>0.07389999999999999</v>
      </c>
      <c r="J474" s="29" t="n">
        <v>0.0277</v>
      </c>
      <c r="K474" s="29" t="n">
        <v>0.0577</v>
      </c>
      <c r="L474" s="29" t="n">
        <v>0.048</v>
      </c>
      <c r="M474" s="29" t="n">
        <v>0.0364</v>
      </c>
      <c r="N474" s="26" t="n">
        <v>217.8847</v>
      </c>
      <c r="O474" s="26" t="n">
        <v>517.4718</v>
      </c>
      <c r="P474" s="29" t="n">
        <v>0.1743</v>
      </c>
      <c r="Q474" s="29" t="n">
        <v>0.1254</v>
      </c>
      <c r="R474" s="30" t="n">
        <v>72</v>
      </c>
    </row>
    <row r="475">
      <c r="A475" t="inlineStr">
        <is>
          <t>TN</t>
        </is>
      </c>
      <c r="B475" t="n">
        <v>2022</v>
      </c>
      <c r="C475" s="21" t="n">
        <v>1498118</v>
      </c>
      <c r="D475" s="22" t="n">
        <v>7.038941042</v>
      </c>
      <c r="E475" s="15" t="n">
        <v>10905.48</v>
      </c>
      <c r="F475" s="23" t="n">
        <v>0.2398</v>
      </c>
      <c r="G475" s="23" t="n">
        <v>0.1623</v>
      </c>
      <c r="H475" s="23" t="n">
        <v>0.0984</v>
      </c>
      <c r="I475" s="23" t="n">
        <v>0.0756</v>
      </c>
      <c r="J475" s="23" t="n">
        <v>0.0301</v>
      </c>
      <c r="K475" s="23" t="n">
        <v>0.0549</v>
      </c>
      <c r="L475" s="23" t="n">
        <v>0.0476</v>
      </c>
      <c r="M475" s="23" t="n">
        <v>0.0376</v>
      </c>
      <c r="N475" s="21" t="n">
        <v>216.3111</v>
      </c>
      <c r="O475" s="21" t="n">
        <v>525.7464</v>
      </c>
      <c r="P475" s="23" t="n">
        <v>0.1706</v>
      </c>
      <c r="Q475" s="23" t="n">
        <v>0.1137</v>
      </c>
      <c r="R475" s="24" t="n">
        <v>73</v>
      </c>
    </row>
    <row r="476">
      <c r="A476" s="25" t="inlineStr">
        <is>
          <t>TN</t>
        </is>
      </c>
      <c r="B476" s="25" t="n">
        <v>2023</v>
      </c>
      <c r="C476" s="26" t="n">
        <v>1522963</v>
      </c>
      <c r="D476" s="27" t="n">
        <v>7.228949511</v>
      </c>
      <c r="E476" s="28" t="n">
        <v>11776.76</v>
      </c>
      <c r="F476" s="29" t="n">
        <v>0.2303</v>
      </c>
      <c r="G476" s="29" t="n">
        <v>0.1632</v>
      </c>
      <c r="H476" s="29" t="n">
        <v>0.0944</v>
      </c>
      <c r="I476" s="29" t="n">
        <v>0.0706</v>
      </c>
      <c r="J476" s="29" t="n">
        <v>0.0475</v>
      </c>
      <c r="K476" s="29" t="n">
        <v>0.05</v>
      </c>
      <c r="L476" s="29" t="n">
        <v>0.0446</v>
      </c>
      <c r="M476" s="29" t="n">
        <v>0.0372</v>
      </c>
      <c r="N476" s="26" t="n">
        <v>219.6106</v>
      </c>
      <c r="O476" s="26" t="n">
        <v>538.0071</v>
      </c>
      <c r="P476" s="29" t="n">
        <v>0.171</v>
      </c>
      <c r="Q476" s="29" t="n">
        <v>0.1053</v>
      </c>
      <c r="R476" s="30" t="n">
        <v>73</v>
      </c>
    </row>
    <row r="477">
      <c r="A477" t="inlineStr">
        <is>
          <t>TN</t>
        </is>
      </c>
      <c r="B477" t="n">
        <v>2024</v>
      </c>
      <c r="C477" s="21" t="n">
        <v>1552211</v>
      </c>
      <c r="D477" s="22" t="n">
        <v>7.364494134</v>
      </c>
      <c r="E477" s="15" t="n">
        <v>12276.67</v>
      </c>
      <c r="F477" s="23" t="n">
        <v>0.2244</v>
      </c>
      <c r="G477" s="23" t="n">
        <v>0.1629</v>
      </c>
      <c r="H477" s="23" t="n">
        <v>0.0931</v>
      </c>
      <c r="I477" s="23" t="n">
        <v>0.0702</v>
      </c>
      <c r="J477" s="23" t="n">
        <v>0.045</v>
      </c>
      <c r="K477" s="23" t="n">
        <v>0.0483</v>
      </c>
      <c r="L477" s="23" t="n">
        <v>0.0429</v>
      </c>
      <c r="M477" s="23" t="n">
        <v>0.0385</v>
      </c>
      <c r="N477" s="21" t="n">
        <v>219.7534</v>
      </c>
      <c r="O477" s="21" t="n">
        <v>538.417</v>
      </c>
      <c r="P477" s="23" t="n">
        <v>0.1734</v>
      </c>
      <c r="Q477" s="23" t="n">
        <v>0.0885</v>
      </c>
      <c r="R477" s="24" t="n">
        <v>73</v>
      </c>
    </row>
    <row r="478">
      <c r="A478" s="25" t="inlineStr">
        <is>
          <t>TX</t>
        </is>
      </c>
      <c r="B478" s="25" t="n">
        <v>2014</v>
      </c>
      <c r="C478" s="26" t="n">
        <v>3703369</v>
      </c>
      <c r="D478" s="27" t="n">
        <v>24.190005907</v>
      </c>
      <c r="E478" s="28" t="n">
        <v>10819.58</v>
      </c>
      <c r="F478" s="29" t="n">
        <v>0.2514</v>
      </c>
      <c r="G478" s="29" t="n">
        <v>0.1069</v>
      </c>
      <c r="H478" s="29" t="n">
        <v>0.09379999999999999</v>
      </c>
      <c r="I478" s="29" t="n">
        <v>0.0796</v>
      </c>
      <c r="J478" s="29" t="n">
        <v>0.0209</v>
      </c>
      <c r="K478" s="29" t="n">
        <v>0.1002</v>
      </c>
      <c r="L478" s="29" t="n">
        <v>0.047</v>
      </c>
      <c r="M478" s="29" t="n">
        <v>0.0411</v>
      </c>
      <c r="N478" s="26" t="n">
        <v>287.0164</v>
      </c>
      <c r="O478" s="26" t="n">
        <v>671.6362</v>
      </c>
      <c r="P478" s="29" t="n">
        <v>0.1773</v>
      </c>
      <c r="Q478" s="29" t="n">
        <v>0.2105</v>
      </c>
      <c r="R478" s="30" t="n">
        <v>71</v>
      </c>
    </row>
    <row r="479">
      <c r="A479" t="inlineStr">
        <is>
          <t>TX</t>
        </is>
      </c>
      <c r="B479" t="n">
        <v>2015</v>
      </c>
      <c r="C479" s="21" t="n">
        <v>3829645</v>
      </c>
      <c r="D479" s="22" t="n">
        <v>24.261686797</v>
      </c>
      <c r="E479" s="15" t="n">
        <v>11077.63</v>
      </c>
      <c r="F479" s="23" t="n">
        <v>0.2477</v>
      </c>
      <c r="G479" s="23" t="n">
        <v>0.1115</v>
      </c>
      <c r="H479" s="23" t="n">
        <v>0.0941</v>
      </c>
      <c r="I479" s="23" t="n">
        <v>0.0784</v>
      </c>
      <c r="J479" s="23" t="n">
        <v>0.0212</v>
      </c>
      <c r="K479" s="23" t="n">
        <v>0.0961</v>
      </c>
      <c r="L479" s="23" t="n">
        <v>0.0469</v>
      </c>
      <c r="M479" s="23" t="n">
        <v>0.0412</v>
      </c>
      <c r="N479" s="21" t="n">
        <v>282.9753</v>
      </c>
      <c r="O479" s="21" t="n">
        <v>677.6438000000001</v>
      </c>
      <c r="P479" s="23" t="n">
        <v>0.1771</v>
      </c>
      <c r="Q479" s="23" t="n">
        <v>0.1843</v>
      </c>
      <c r="R479" s="24" t="n">
        <v>71</v>
      </c>
    </row>
    <row r="480">
      <c r="A480" s="25" t="inlineStr">
        <is>
          <t>TX</t>
        </is>
      </c>
      <c r="B480" s="25" t="n">
        <v>2016</v>
      </c>
      <c r="C480" s="26" t="n">
        <v>3950816</v>
      </c>
      <c r="D480" s="27" t="n">
        <v>24.923359375</v>
      </c>
      <c r="E480" s="28" t="n">
        <v>11214.42</v>
      </c>
      <c r="F480" s="29" t="n">
        <v>0.2516</v>
      </c>
      <c r="G480" s="29" t="n">
        <v>0.115</v>
      </c>
      <c r="H480" s="29" t="n">
        <v>0.09379999999999999</v>
      </c>
      <c r="I480" s="29" t="n">
        <v>0.075</v>
      </c>
      <c r="J480" s="29" t="n">
        <v>0.0181</v>
      </c>
      <c r="K480" s="29" t="n">
        <v>0.0924</v>
      </c>
      <c r="L480" s="29" t="n">
        <v>0.0477</v>
      </c>
      <c r="M480" s="29" t="n">
        <v>0.0417</v>
      </c>
      <c r="N480" s="26" t="n">
        <v>281.2203</v>
      </c>
      <c r="O480" s="26" t="n">
        <v>687.3165</v>
      </c>
      <c r="P480" s="29" t="n">
        <v>0.1782</v>
      </c>
      <c r="Q480" s="29" t="n">
        <v>0.1837</v>
      </c>
      <c r="R480" s="30" t="n">
        <v>72</v>
      </c>
    </row>
    <row r="481">
      <c r="A481" t="inlineStr">
        <is>
          <t>TX</t>
        </is>
      </c>
      <c r="B481" t="n">
        <v>2017</v>
      </c>
      <c r="C481" s="21" t="n">
        <v>4076427</v>
      </c>
      <c r="D481" s="22" t="n">
        <v>24.90379814</v>
      </c>
      <c r="E481" s="15" t="n">
        <v>11289.97</v>
      </c>
      <c r="F481" s="23" t="n">
        <v>0.2535</v>
      </c>
      <c r="G481" s="23" t="n">
        <v>0.1196</v>
      </c>
      <c r="H481" s="23" t="n">
        <v>0.09520000000000001</v>
      </c>
      <c r="I481" s="23" t="n">
        <v>0.07489999999999999</v>
      </c>
      <c r="J481" s="23" t="n">
        <v>0.0173</v>
      </c>
      <c r="K481" s="23" t="n">
        <v>0.0857</v>
      </c>
      <c r="L481" s="23" t="n">
        <v>0.0478</v>
      </c>
      <c r="M481" s="23" t="n">
        <v>0.0419</v>
      </c>
      <c r="N481" s="21" t="n">
        <v>281.3073</v>
      </c>
      <c r="O481" s="21" t="n">
        <v>695.4593</v>
      </c>
      <c r="P481" s="23" t="n">
        <v>0.1809</v>
      </c>
      <c r="Q481" s="23" t="n">
        <v>0.1764</v>
      </c>
      <c r="R481" s="24" t="n">
        <v>72</v>
      </c>
    </row>
    <row r="482">
      <c r="A482" s="25" t="inlineStr">
        <is>
          <t>TX</t>
        </is>
      </c>
      <c r="B482" s="25" t="n">
        <v>2018</v>
      </c>
      <c r="C482" s="26" t="n">
        <v>4226539</v>
      </c>
      <c r="D482" s="27" t="n">
        <v>25.049190514</v>
      </c>
      <c r="E482" s="28" t="n">
        <v>11637.98</v>
      </c>
      <c r="F482" s="29" t="n">
        <v>0.2483</v>
      </c>
      <c r="G482" s="29" t="n">
        <v>0.1261</v>
      </c>
      <c r="H482" s="29" t="n">
        <v>0.0949</v>
      </c>
      <c r="I482" s="29" t="n">
        <v>0.0706</v>
      </c>
      <c r="J482" s="29" t="n">
        <v>0.0188</v>
      </c>
      <c r="K482" s="29" t="n">
        <v>0.07920000000000001</v>
      </c>
      <c r="L482" s="29" t="n">
        <v>0.0476</v>
      </c>
      <c r="M482" s="29" t="n">
        <v>0.042</v>
      </c>
      <c r="N482" s="26" t="n">
        <v>273.5159</v>
      </c>
      <c r="O482" s="26" t="n">
        <v>680.4334</v>
      </c>
      <c r="P482" s="29" t="n">
        <v>0.1818</v>
      </c>
      <c r="Q482" s="29" t="n">
        <v>0.1693</v>
      </c>
      <c r="R482" s="30" t="n">
        <v>72</v>
      </c>
    </row>
    <row r="483">
      <c r="A483" t="inlineStr">
        <is>
          <t>TX</t>
        </is>
      </c>
      <c r="B483" t="n">
        <v>2019</v>
      </c>
      <c r="C483" s="21" t="n">
        <v>4368416</v>
      </c>
      <c r="D483" s="22" t="n">
        <v>25.64789192</v>
      </c>
      <c r="E483" s="15" t="n">
        <v>11944.37</v>
      </c>
      <c r="F483" s="23" t="n">
        <v>0.2456</v>
      </c>
      <c r="G483" s="23" t="n">
        <v>0.1279</v>
      </c>
      <c r="H483" s="23" t="n">
        <v>0.0946</v>
      </c>
      <c r="I483" s="23" t="n">
        <v>0.0673</v>
      </c>
      <c r="J483" s="23" t="n">
        <v>0.0191</v>
      </c>
      <c r="K483" s="23" t="n">
        <v>0.0747</v>
      </c>
      <c r="L483" s="23" t="n">
        <v>0.0483</v>
      </c>
      <c r="M483" s="23" t="n">
        <v>0.0436</v>
      </c>
      <c r="N483" s="21" t="n">
        <v>269.7689</v>
      </c>
      <c r="O483" s="21" t="n">
        <v>673.0453</v>
      </c>
      <c r="P483" s="23" t="n">
        <v>0.1831</v>
      </c>
      <c r="Q483" s="23" t="n">
        <v>0.1569</v>
      </c>
      <c r="R483" s="24" t="n">
        <v>72</v>
      </c>
    </row>
    <row r="484">
      <c r="A484" s="25" t="inlineStr">
        <is>
          <t>TX</t>
        </is>
      </c>
      <c r="B484" s="25" t="n">
        <v>2020</v>
      </c>
      <c r="C484" s="26" t="n">
        <v>4503122</v>
      </c>
      <c r="D484" s="27" t="n">
        <v>24.261274564</v>
      </c>
      <c r="E484" s="28" t="n">
        <v>11520.44</v>
      </c>
      <c r="F484" s="29" t="n">
        <v>0.2406</v>
      </c>
      <c r="G484" s="29" t="n">
        <v>0.1228</v>
      </c>
      <c r="H484" s="29" t="n">
        <v>0.0897</v>
      </c>
      <c r="I484" s="29" t="n">
        <v>0.07870000000000001</v>
      </c>
      <c r="J484" s="29" t="n">
        <v>0.0218</v>
      </c>
      <c r="K484" s="29" t="n">
        <v>0.07140000000000001</v>
      </c>
      <c r="L484" s="29" t="n">
        <v>0.0441</v>
      </c>
      <c r="M484" s="29" t="n">
        <v>0.0473</v>
      </c>
      <c r="N484" s="26" t="n">
        <v>231.307</v>
      </c>
      <c r="O484" s="26" t="n">
        <v>543.7343</v>
      </c>
      <c r="P484" s="29" t="n">
        <v>0.1831</v>
      </c>
      <c r="Q484" s="29" t="n">
        <v>0.1431</v>
      </c>
      <c r="R484" s="30" t="n">
        <v>72</v>
      </c>
    </row>
    <row r="485">
      <c r="A485" t="inlineStr">
        <is>
          <t>TX</t>
        </is>
      </c>
      <c r="B485" t="n">
        <v>2021</v>
      </c>
      <c r="C485" s="21" t="n">
        <v>4616811</v>
      </c>
      <c r="D485" s="22" t="n">
        <v>24.032290026</v>
      </c>
      <c r="E485" s="15" t="n">
        <v>12073.51</v>
      </c>
      <c r="F485" s="23" t="n">
        <v>0.2376</v>
      </c>
      <c r="G485" s="23" t="n">
        <v>0.1341</v>
      </c>
      <c r="H485" s="23" t="n">
        <v>0.0989</v>
      </c>
      <c r="I485" s="23" t="n">
        <v>0.0663</v>
      </c>
      <c r="J485" s="23" t="n">
        <v>0.0245</v>
      </c>
      <c r="K485" s="23" t="n">
        <v>0.0663</v>
      </c>
      <c r="L485" s="23" t="n">
        <v>0.0455</v>
      </c>
      <c r="M485" s="23" t="n">
        <v>0.0456</v>
      </c>
      <c r="N485" s="21" t="n">
        <v>223.957</v>
      </c>
      <c r="O485" s="21" t="n">
        <v>572.7346</v>
      </c>
      <c r="P485" s="23" t="n">
        <v>0.1787</v>
      </c>
      <c r="Q485" s="23" t="n">
        <v>0.1295</v>
      </c>
      <c r="R485" s="24" t="n">
        <v>72</v>
      </c>
    </row>
    <row r="486">
      <c r="A486" s="25" t="inlineStr">
        <is>
          <t>TX</t>
        </is>
      </c>
      <c r="B486" s="25" t="n">
        <v>2022</v>
      </c>
      <c r="C486" s="26" t="n">
        <v>4736999</v>
      </c>
      <c r="D486" s="27" t="n">
        <v>23.950650762</v>
      </c>
      <c r="E486" s="28" t="n">
        <v>12522.07</v>
      </c>
      <c r="F486" s="29" t="n">
        <v>0.23</v>
      </c>
      <c r="G486" s="29" t="n">
        <v>0.1393</v>
      </c>
      <c r="H486" s="29" t="n">
        <v>0.0975</v>
      </c>
      <c r="I486" s="29" t="n">
        <v>0.06950000000000001</v>
      </c>
      <c r="J486" s="29" t="n">
        <v>0.0297</v>
      </c>
      <c r="K486" s="29" t="n">
        <v>0.0633</v>
      </c>
      <c r="L486" s="29" t="n">
        <v>0.0448</v>
      </c>
      <c r="M486" s="29" t="n">
        <v>0.0471</v>
      </c>
      <c r="N486" s="26" t="n">
        <v>224.6487</v>
      </c>
      <c r="O486" s="26" t="n">
        <v>589.1346</v>
      </c>
      <c r="P486" s="29" t="n">
        <v>0.1778</v>
      </c>
      <c r="Q486" s="29" t="n">
        <v>0.1176</v>
      </c>
      <c r="R486" s="30" t="n">
        <v>73</v>
      </c>
    </row>
    <row r="487">
      <c r="A487" t="inlineStr">
        <is>
          <t>TX</t>
        </is>
      </c>
      <c r="B487" t="n">
        <v>2023</v>
      </c>
      <c r="C487" s="21" t="n">
        <v>4860770</v>
      </c>
      <c r="D487" s="22" t="n">
        <v>24.174487592</v>
      </c>
      <c r="E487" s="15" t="n">
        <v>13287.86</v>
      </c>
      <c r="F487" s="23" t="n">
        <v>0.2186</v>
      </c>
      <c r="G487" s="23" t="n">
        <v>0.1414</v>
      </c>
      <c r="H487" s="23" t="n">
        <v>0.0955</v>
      </c>
      <c r="I487" s="23" t="n">
        <v>0.0593</v>
      </c>
      <c r="J487" s="23" t="n">
        <v>0.0462</v>
      </c>
      <c r="K487" s="23" t="n">
        <v>0.0598</v>
      </c>
      <c r="L487" s="23" t="n">
        <v>0.0429</v>
      </c>
      <c r="M487" s="23" t="n">
        <v>0.0489</v>
      </c>
      <c r="N487" s="21" t="n">
        <v>224.8249</v>
      </c>
      <c r="O487" s="21" t="n">
        <v>580.3558</v>
      </c>
      <c r="P487" s="23" t="n">
        <v>0.1775</v>
      </c>
      <c r="Q487" s="23" t="n">
        <v>0.1075</v>
      </c>
      <c r="R487" s="24" t="n">
        <v>73</v>
      </c>
    </row>
    <row r="488">
      <c r="A488" s="25" t="inlineStr">
        <is>
          <t>TX</t>
        </is>
      </c>
      <c r="B488" s="25" t="n">
        <v>2024</v>
      </c>
      <c r="C488" s="26" t="n">
        <v>5001075</v>
      </c>
      <c r="D488" s="27" t="n">
        <v>25.143308742</v>
      </c>
      <c r="E488" s="28" t="n">
        <v>14055.66</v>
      </c>
      <c r="F488" s="29" t="n">
        <v>0.2128</v>
      </c>
      <c r="G488" s="29" t="n">
        <v>0.1417</v>
      </c>
      <c r="H488" s="29" t="n">
        <v>0.094</v>
      </c>
      <c r="I488" s="29" t="n">
        <v>0.053</v>
      </c>
      <c r="J488" s="29" t="n">
        <v>0.0603</v>
      </c>
      <c r="K488" s="29" t="n">
        <v>0.0564</v>
      </c>
      <c r="L488" s="29" t="n">
        <v>0.041</v>
      </c>
      <c r="M488" s="29" t="n">
        <v>0.0499</v>
      </c>
      <c r="N488" s="26" t="n">
        <v>226.8863</v>
      </c>
      <c r="O488" s="26" t="n">
        <v>584.2119</v>
      </c>
      <c r="P488" s="29" t="n">
        <v>0.1793</v>
      </c>
      <c r="Q488" s="29" t="n">
        <v>0.09279999999999999</v>
      </c>
      <c r="R488" s="30" t="n">
        <v>73</v>
      </c>
    </row>
    <row r="489">
      <c r="A489" t="inlineStr">
        <is>
          <t>UT</t>
        </is>
      </c>
      <c r="B489" t="n">
        <v>2014</v>
      </c>
      <c r="C489" s="21" t="n">
        <v>350202</v>
      </c>
      <c r="D489" s="22" t="n">
        <v>1.593850814</v>
      </c>
      <c r="E489" s="15" t="n">
        <v>8253.42</v>
      </c>
      <c r="F489" s="23" t="n">
        <v>0.2602</v>
      </c>
      <c r="G489" s="23" t="n">
        <v>0.1581</v>
      </c>
      <c r="H489" s="23" t="n">
        <v>0.0842</v>
      </c>
      <c r="I489" s="23" t="n">
        <v>0.0939</v>
      </c>
      <c r="J489" s="23" t="n">
        <v>0.0335</v>
      </c>
      <c r="K489" s="23" t="n">
        <v>0.0692</v>
      </c>
      <c r="L489" s="23" t="n">
        <v>0.0631</v>
      </c>
      <c r="M489" s="23" t="n">
        <v>0.0578</v>
      </c>
      <c r="N489" s="21" t="n">
        <v>206.7639</v>
      </c>
      <c r="O489" s="21" t="n">
        <v>548.0078999999999</v>
      </c>
      <c r="P489" s="23" t="n">
        <v>0.1318</v>
      </c>
      <c r="Q489" s="23" t="n">
        <v>0.1145</v>
      </c>
      <c r="R489" s="24" t="n">
        <v>72</v>
      </c>
    </row>
    <row r="490">
      <c r="A490" s="25" t="inlineStr">
        <is>
          <t>UT</t>
        </is>
      </c>
      <c r="B490" s="25" t="n">
        <v>2015</v>
      </c>
      <c r="C490" s="26" t="n">
        <v>363569</v>
      </c>
      <c r="D490" s="27" t="n">
        <v>1.696485682</v>
      </c>
      <c r="E490" s="28" t="n">
        <v>8537.24</v>
      </c>
      <c r="F490" s="29" t="n">
        <v>0.2519</v>
      </c>
      <c r="G490" s="29" t="n">
        <v>0.1647</v>
      </c>
      <c r="H490" s="29" t="n">
        <v>0.0842</v>
      </c>
      <c r="I490" s="29" t="n">
        <v>0.0906</v>
      </c>
      <c r="J490" s="29" t="n">
        <v>0.0362</v>
      </c>
      <c r="K490" s="29" t="n">
        <v>0.066</v>
      </c>
      <c r="L490" s="29" t="n">
        <v>0.0624</v>
      </c>
      <c r="M490" s="29" t="n">
        <v>0.0569</v>
      </c>
      <c r="N490" s="26" t="n">
        <v>206.2139</v>
      </c>
      <c r="O490" s="26" t="n">
        <v>558.6011999999999</v>
      </c>
      <c r="P490" s="29" t="n">
        <v>0.1272</v>
      </c>
      <c r="Q490" s="29" t="n">
        <v>0.1103</v>
      </c>
      <c r="R490" s="30" t="n">
        <v>72</v>
      </c>
    </row>
    <row r="491">
      <c r="A491" t="inlineStr">
        <is>
          <t>UT</t>
        </is>
      </c>
      <c r="B491" t="n">
        <v>2016</v>
      </c>
      <c r="C491" s="21" t="n">
        <v>376643</v>
      </c>
      <c r="D491" s="22" t="n">
        <v>1.736374122</v>
      </c>
      <c r="E491" s="15" t="n">
        <v>8558.370000000001</v>
      </c>
      <c r="F491" s="23" t="n">
        <v>0.2517</v>
      </c>
      <c r="G491" s="23" t="n">
        <v>0.1686</v>
      </c>
      <c r="H491" s="23" t="n">
        <v>0.0835</v>
      </c>
      <c r="I491" s="23" t="n">
        <v>0.0857</v>
      </c>
      <c r="J491" s="23" t="n">
        <v>0.0283</v>
      </c>
      <c r="K491" s="23" t="n">
        <v>0.06510000000000001</v>
      </c>
      <c r="L491" s="23" t="n">
        <v>0.06320000000000001</v>
      </c>
      <c r="M491" s="23" t="n">
        <v>0.06</v>
      </c>
      <c r="N491" s="21" t="n">
        <v>205.7707</v>
      </c>
      <c r="O491" s="21" t="n">
        <v>563.41</v>
      </c>
      <c r="P491" s="23" t="n">
        <v>0.128</v>
      </c>
      <c r="Q491" s="23" t="n">
        <v>0.1088</v>
      </c>
      <c r="R491" s="24" t="n">
        <v>72</v>
      </c>
    </row>
    <row r="492">
      <c r="A492" s="25" t="inlineStr">
        <is>
          <t>UT</t>
        </is>
      </c>
      <c r="B492" s="25" t="n">
        <v>2017</v>
      </c>
      <c r="C492" s="26" t="n">
        <v>389726</v>
      </c>
      <c r="D492" s="27" t="n">
        <v>1.808594979</v>
      </c>
      <c r="E492" s="28" t="n">
        <v>8790.040000000001</v>
      </c>
      <c r="F492" s="29" t="n">
        <v>0.2495</v>
      </c>
      <c r="G492" s="29" t="n">
        <v>0.1773</v>
      </c>
      <c r="H492" s="29" t="n">
        <v>0.083</v>
      </c>
      <c r="I492" s="29" t="n">
        <v>0.0827</v>
      </c>
      <c r="J492" s="29" t="n">
        <v>0.0254</v>
      </c>
      <c r="K492" s="29" t="n">
        <v>0.063</v>
      </c>
      <c r="L492" s="29" t="n">
        <v>0.062</v>
      </c>
      <c r="M492" s="29" t="n">
        <v>0.0621</v>
      </c>
      <c r="N492" s="26" t="n">
        <v>205.9342</v>
      </c>
      <c r="O492" s="26" t="n">
        <v>559.7531</v>
      </c>
      <c r="P492" s="29" t="n">
        <v>0.1258</v>
      </c>
      <c r="Q492" s="29" t="n">
        <v>0.1062</v>
      </c>
      <c r="R492" s="30" t="n">
        <v>72</v>
      </c>
    </row>
    <row r="493">
      <c r="A493" t="inlineStr">
        <is>
          <t>UT</t>
        </is>
      </c>
      <c r="B493" t="n">
        <v>2018</v>
      </c>
      <c r="C493" s="21" t="n">
        <v>405363</v>
      </c>
      <c r="D493" s="22" t="n">
        <v>1.917897827</v>
      </c>
      <c r="E493" s="15" t="n">
        <v>9109.25</v>
      </c>
      <c r="F493" s="23" t="n">
        <v>0.2357</v>
      </c>
      <c r="G493" s="23" t="n">
        <v>0.1957</v>
      </c>
      <c r="H493" s="23" t="n">
        <v>0.0835</v>
      </c>
      <c r="I493" s="23" t="n">
        <v>0.078</v>
      </c>
      <c r="J493" s="23" t="n">
        <v>0.0276</v>
      </c>
      <c r="K493" s="23" t="n">
        <v>0.0615</v>
      </c>
      <c r="L493" s="23" t="n">
        <v>0.0619</v>
      </c>
      <c r="M493" s="23" t="n">
        <v>0.0615</v>
      </c>
      <c r="N493" s="21" t="n">
        <v>196.5147</v>
      </c>
      <c r="O493" s="21" t="n">
        <v>545.0642</v>
      </c>
      <c r="P493" s="23" t="n">
        <v>0.1281</v>
      </c>
      <c r="Q493" s="23" t="n">
        <v>0.1057</v>
      </c>
      <c r="R493" s="24" t="n">
        <v>72</v>
      </c>
    </row>
    <row r="494">
      <c r="A494" s="25" t="inlineStr">
        <is>
          <t>UT</t>
        </is>
      </c>
      <c r="B494" s="25" t="n">
        <v>2019</v>
      </c>
      <c r="C494" s="26" t="n">
        <v>420395</v>
      </c>
      <c r="D494" s="27" t="n">
        <v>2.007687392</v>
      </c>
      <c r="E494" s="28" t="n">
        <v>9413.65</v>
      </c>
      <c r="F494" s="29" t="n">
        <v>0.2289</v>
      </c>
      <c r="G494" s="29" t="n">
        <v>0.1955</v>
      </c>
      <c r="H494" s="29" t="n">
        <v>0.0837</v>
      </c>
      <c r="I494" s="29" t="n">
        <v>0.0745</v>
      </c>
      <c r="J494" s="29" t="n">
        <v>0.0274</v>
      </c>
      <c r="K494" s="29" t="n">
        <v>0.0601</v>
      </c>
      <c r="L494" s="29" t="n">
        <v>0.0623</v>
      </c>
      <c r="M494" s="29" t="n">
        <v>0.063</v>
      </c>
      <c r="N494" s="26" t="n">
        <v>192.4942</v>
      </c>
      <c r="O494" s="26" t="n">
        <v>546.3348</v>
      </c>
      <c r="P494" s="29" t="n">
        <v>0.1271</v>
      </c>
      <c r="Q494" s="29" t="n">
        <v>0.1013</v>
      </c>
      <c r="R494" s="30" t="n">
        <v>72</v>
      </c>
    </row>
    <row r="495">
      <c r="A495" t="inlineStr">
        <is>
          <t>UT</t>
        </is>
      </c>
      <c r="B495" t="n">
        <v>2020</v>
      </c>
      <c r="C495" s="21" t="n">
        <v>434840</v>
      </c>
      <c r="D495" s="22" t="n">
        <v>1.913476449</v>
      </c>
      <c r="E495" s="15" t="n">
        <v>9072.01</v>
      </c>
      <c r="F495" s="23" t="n">
        <v>0.2153</v>
      </c>
      <c r="G495" s="23" t="n">
        <v>0.2</v>
      </c>
      <c r="H495" s="23" t="n">
        <v>0.0804</v>
      </c>
      <c r="I495" s="23" t="n">
        <v>0.0707</v>
      </c>
      <c r="J495" s="23" t="n">
        <v>0.0364</v>
      </c>
      <c r="K495" s="23" t="n">
        <v>0.0567</v>
      </c>
      <c r="L495" s="23" t="n">
        <v>0.0585</v>
      </c>
      <c r="M495" s="23" t="n">
        <v>0.06909999999999999</v>
      </c>
      <c r="N495" s="21" t="n">
        <v>164.2558</v>
      </c>
      <c r="O495" s="21" t="n">
        <v>459.2051</v>
      </c>
      <c r="P495" s="23" t="n">
        <v>0.1259</v>
      </c>
      <c r="Q495" s="23" t="n">
        <v>0.0964</v>
      </c>
      <c r="R495" s="24" t="n">
        <v>72</v>
      </c>
    </row>
    <row r="496">
      <c r="A496" s="25" t="inlineStr">
        <is>
          <t>UT</t>
        </is>
      </c>
      <c r="B496" s="25" t="n">
        <v>2021</v>
      </c>
      <c r="C496" s="26" t="n">
        <v>448080</v>
      </c>
      <c r="D496" s="27" t="n">
        <v>2.025843602</v>
      </c>
      <c r="E496" s="28" t="n">
        <v>9915.34</v>
      </c>
      <c r="F496" s="29" t="n">
        <v>0.207</v>
      </c>
      <c r="G496" s="29" t="n">
        <v>0.2144</v>
      </c>
      <c r="H496" s="29" t="n">
        <v>0.08890000000000001</v>
      </c>
      <c r="I496" s="29" t="n">
        <v>0.06279999999999999</v>
      </c>
      <c r="J496" s="29" t="n">
        <v>0.0427</v>
      </c>
      <c r="K496" s="29" t="n">
        <v>0.0542</v>
      </c>
      <c r="L496" s="29" t="n">
        <v>0.0592</v>
      </c>
      <c r="M496" s="29" t="n">
        <v>0.0633</v>
      </c>
      <c r="N496" s="26" t="n">
        <v>163.5669</v>
      </c>
      <c r="O496" s="26" t="n">
        <v>496.8725</v>
      </c>
      <c r="P496" s="29" t="n">
        <v>0.1315</v>
      </c>
      <c r="Q496" s="29" t="n">
        <v>0.0948</v>
      </c>
      <c r="R496" s="30" t="n">
        <v>73</v>
      </c>
    </row>
    <row r="497">
      <c r="A497" t="inlineStr">
        <is>
          <t>UT</t>
        </is>
      </c>
      <c r="B497" t="n">
        <v>2022</v>
      </c>
      <c r="C497" s="21" t="n">
        <v>460425</v>
      </c>
      <c r="D497" s="22" t="n">
        <v>2.026266386</v>
      </c>
      <c r="E497" s="15" t="n">
        <v>10314.68</v>
      </c>
      <c r="F497" s="23" t="n">
        <v>0.2032</v>
      </c>
      <c r="G497" s="23" t="n">
        <v>0.2212</v>
      </c>
      <c r="H497" s="23" t="n">
        <v>0.0866</v>
      </c>
      <c r="I497" s="23" t="n">
        <v>0.0658</v>
      </c>
      <c r="J497" s="23" t="n">
        <v>0.0436</v>
      </c>
      <c r="K497" s="23" t="n">
        <v>0.0536</v>
      </c>
      <c r="L497" s="23" t="n">
        <v>0.0584</v>
      </c>
      <c r="M497" s="23" t="n">
        <v>0.0613</v>
      </c>
      <c r="N497" s="21" t="n">
        <v>164.1223</v>
      </c>
      <c r="O497" s="21" t="n">
        <v>516.8928</v>
      </c>
      <c r="P497" s="23" t="n">
        <v>0.1324</v>
      </c>
      <c r="Q497" s="23" t="n">
        <v>0.09089999999999999</v>
      </c>
      <c r="R497" s="24" t="n">
        <v>73</v>
      </c>
    </row>
    <row r="498">
      <c r="A498" s="25" t="inlineStr">
        <is>
          <t>UT</t>
        </is>
      </c>
      <c r="B498" s="25" t="n">
        <v>2023</v>
      </c>
      <c r="C498" s="26" t="n">
        <v>472847</v>
      </c>
      <c r="D498" s="27" t="n">
        <v>2.125655204</v>
      </c>
      <c r="E498" s="28" t="n">
        <v>11400.18</v>
      </c>
      <c r="F498" s="29" t="n">
        <v>0.1908</v>
      </c>
      <c r="G498" s="29" t="n">
        <v>0.22</v>
      </c>
      <c r="H498" s="29" t="n">
        <v>0.0813</v>
      </c>
      <c r="I498" s="29" t="n">
        <v>0.0601</v>
      </c>
      <c r="J498" s="29" t="n">
        <v>0.0788</v>
      </c>
      <c r="K498" s="29" t="n">
        <v>0.0504</v>
      </c>
      <c r="L498" s="29" t="n">
        <v>0.0534</v>
      </c>
      <c r="M498" s="29" t="n">
        <v>0.0579</v>
      </c>
      <c r="N498" s="26" t="n">
        <v>166.9223</v>
      </c>
      <c r="O498" s="26" t="n">
        <v>521.1093</v>
      </c>
      <c r="P498" s="29" t="n">
        <v>0.1303</v>
      </c>
      <c r="Q498" s="29" t="n">
        <v>0.0876</v>
      </c>
      <c r="R498" s="30" t="n">
        <v>73</v>
      </c>
    </row>
    <row r="499">
      <c r="A499" t="inlineStr">
        <is>
          <t>UT</t>
        </is>
      </c>
      <c r="B499" t="n">
        <v>2024</v>
      </c>
      <c r="C499" s="21" t="n">
        <v>487268</v>
      </c>
      <c r="D499" s="22" t="n">
        <v>2.180267767</v>
      </c>
      <c r="E499" s="15" t="n">
        <v>12077.84</v>
      </c>
      <c r="F499" s="23" t="n">
        <v>0.1913</v>
      </c>
      <c r="G499" s="23" t="n">
        <v>0.2248</v>
      </c>
      <c r="H499" s="23" t="n">
        <v>0.0823</v>
      </c>
      <c r="I499" s="23" t="n">
        <v>0.0585</v>
      </c>
      <c r="J499" s="23" t="n">
        <v>0.0613</v>
      </c>
      <c r="K499" s="23" t="n">
        <v>0.0482</v>
      </c>
      <c r="L499" s="23" t="n">
        <v>0.0506</v>
      </c>
      <c r="M499" s="23" t="n">
        <v>0.0579</v>
      </c>
      <c r="N499" s="21" t="n">
        <v>171.1741</v>
      </c>
      <c r="O499" s="21" t="n">
        <v>530.9775</v>
      </c>
      <c r="P499" s="23" t="n">
        <v>0.1339</v>
      </c>
      <c r="Q499" s="23" t="n">
        <v>0.08</v>
      </c>
      <c r="R499" s="24" t="n">
        <v>74</v>
      </c>
    </row>
    <row r="500">
      <c r="A500" s="25" t="inlineStr">
        <is>
          <t>VA</t>
        </is>
      </c>
      <c r="B500" s="25" t="n">
        <v>2014</v>
      </c>
      <c r="C500" s="26" t="n">
        <v>1378831</v>
      </c>
      <c r="D500" s="27" t="n">
        <v>8.159323688000001</v>
      </c>
      <c r="E500" s="28" t="n">
        <v>8387.059999999999</v>
      </c>
      <c r="F500" s="29" t="n">
        <v>0.2967</v>
      </c>
      <c r="G500" s="29" t="n">
        <v>0.1467</v>
      </c>
      <c r="H500" s="29" t="n">
        <v>0.106</v>
      </c>
      <c r="I500" s="29" t="n">
        <v>0.0825</v>
      </c>
      <c r="J500" s="29" t="n">
        <v>0.0251</v>
      </c>
      <c r="K500" s="29" t="n">
        <v>0.0502</v>
      </c>
      <c r="L500" s="29" t="n">
        <v>0.0543</v>
      </c>
      <c r="M500" s="29" t="n">
        <v>0.0304</v>
      </c>
      <c r="N500" s="26" t="n">
        <v>264.6521</v>
      </c>
      <c r="O500" s="26" t="n">
        <v>661.546</v>
      </c>
      <c r="P500" s="29" t="n">
        <v>0.1804</v>
      </c>
      <c r="Q500" s="29" t="n">
        <v>0.1394</v>
      </c>
      <c r="R500" s="30" t="n">
        <v>72</v>
      </c>
    </row>
    <row r="501">
      <c r="A501" t="inlineStr">
        <is>
          <t>VA</t>
        </is>
      </c>
      <c r="B501" t="n">
        <v>2015</v>
      </c>
      <c r="C501" s="21" t="n">
        <v>1418401</v>
      </c>
      <c r="D501" s="22" t="n">
        <v>8.603419514</v>
      </c>
      <c r="E501" s="15" t="n">
        <v>8655.389999999999</v>
      </c>
      <c r="F501" s="23" t="n">
        <v>0.2888</v>
      </c>
      <c r="G501" s="23" t="n">
        <v>0.1527</v>
      </c>
      <c r="H501" s="23" t="n">
        <v>0.1066</v>
      </c>
      <c r="I501" s="23" t="n">
        <v>0.0793</v>
      </c>
      <c r="J501" s="23" t="n">
        <v>0.026</v>
      </c>
      <c r="K501" s="23" t="n">
        <v>0.0511</v>
      </c>
      <c r="L501" s="23" t="n">
        <v>0.0538</v>
      </c>
      <c r="M501" s="23" t="n">
        <v>0.0293</v>
      </c>
      <c r="N501" s="21" t="n">
        <v>262.4558</v>
      </c>
      <c r="O501" s="21" t="n">
        <v>679.3619</v>
      </c>
      <c r="P501" s="23" t="n">
        <v>0.1767</v>
      </c>
      <c r="Q501" s="23" t="n">
        <v>0.1349</v>
      </c>
      <c r="R501" s="24" t="n">
        <v>72</v>
      </c>
    </row>
    <row r="502">
      <c r="A502" s="25" t="inlineStr">
        <is>
          <t>VA</t>
        </is>
      </c>
      <c r="B502" s="25" t="n">
        <v>2016</v>
      </c>
      <c r="C502" s="26" t="n">
        <v>1456665</v>
      </c>
      <c r="D502" s="27" t="n">
        <v>8.896030498</v>
      </c>
      <c r="E502" s="28" t="n">
        <v>8760.889999999999</v>
      </c>
      <c r="F502" s="29" t="n">
        <v>0.2914</v>
      </c>
      <c r="G502" s="29" t="n">
        <v>0.1569</v>
      </c>
      <c r="H502" s="29" t="n">
        <v>0.1053</v>
      </c>
      <c r="I502" s="29" t="n">
        <v>0.0759</v>
      </c>
      <c r="J502" s="29" t="n">
        <v>0.0211</v>
      </c>
      <c r="K502" s="29" t="n">
        <v>0.0516</v>
      </c>
      <c r="L502" s="29" t="n">
        <v>0.0539</v>
      </c>
      <c r="M502" s="29" t="n">
        <v>0.0304</v>
      </c>
      <c r="N502" s="26" t="n">
        <v>256.7201</v>
      </c>
      <c r="O502" s="26" t="n">
        <v>679.2968</v>
      </c>
      <c r="P502" s="29" t="n">
        <v>0.1755</v>
      </c>
      <c r="Q502" s="29" t="n">
        <v>0.1329</v>
      </c>
      <c r="R502" s="30" t="n">
        <v>72</v>
      </c>
    </row>
    <row r="503">
      <c r="A503" t="inlineStr">
        <is>
          <t>VA</t>
        </is>
      </c>
      <c r="B503" t="n">
        <v>2017</v>
      </c>
      <c r="C503" s="21" t="n">
        <v>1494571</v>
      </c>
      <c r="D503" s="22" t="n">
        <v>9.225348336</v>
      </c>
      <c r="E503" s="15" t="n">
        <v>8995.709999999999</v>
      </c>
      <c r="F503" s="23" t="n">
        <v>0.2883</v>
      </c>
      <c r="G503" s="23" t="n">
        <v>0.1628</v>
      </c>
      <c r="H503" s="23" t="n">
        <v>0.1056</v>
      </c>
      <c r="I503" s="23" t="n">
        <v>0.0728</v>
      </c>
      <c r="J503" s="23" t="n">
        <v>0.0196</v>
      </c>
      <c r="K503" s="23" t="n">
        <v>0.0514</v>
      </c>
      <c r="L503" s="23" t="n">
        <v>0.0528</v>
      </c>
      <c r="M503" s="23" t="n">
        <v>0.032</v>
      </c>
      <c r="N503" s="21" t="n">
        <v>257.4452</v>
      </c>
      <c r="O503" s="21" t="n">
        <v>684.5973</v>
      </c>
      <c r="P503" s="23" t="n">
        <v>0.176</v>
      </c>
      <c r="Q503" s="23" t="n">
        <v>0.1347</v>
      </c>
      <c r="R503" s="24" t="n">
        <v>72</v>
      </c>
    </row>
    <row r="504">
      <c r="A504" s="25" t="inlineStr">
        <is>
          <t>VA</t>
        </is>
      </c>
      <c r="B504" s="25" t="n">
        <v>2018</v>
      </c>
      <c r="C504" s="26" t="n">
        <v>1540865</v>
      </c>
      <c r="D504" s="27" t="n">
        <v>9.768787149</v>
      </c>
      <c r="E504" s="28" t="n">
        <v>9331.57</v>
      </c>
      <c r="F504" s="29" t="n">
        <v>0.2804</v>
      </c>
      <c r="G504" s="29" t="n">
        <v>0.1698</v>
      </c>
      <c r="H504" s="29" t="n">
        <v>0.104</v>
      </c>
      <c r="I504" s="29" t="n">
        <v>0.0693</v>
      </c>
      <c r="J504" s="29" t="n">
        <v>0.0208</v>
      </c>
      <c r="K504" s="29" t="n">
        <v>0.0498</v>
      </c>
      <c r="L504" s="29" t="n">
        <v>0.0513</v>
      </c>
      <c r="M504" s="29" t="n">
        <v>0.0342</v>
      </c>
      <c r="N504" s="26" t="n">
        <v>254.5534</v>
      </c>
      <c r="O504" s="26" t="n">
        <v>682.645</v>
      </c>
      <c r="P504" s="29" t="n">
        <v>0.1748</v>
      </c>
      <c r="Q504" s="29" t="n">
        <v>0.1405</v>
      </c>
      <c r="R504" s="30" t="n">
        <v>72</v>
      </c>
    </row>
    <row r="505">
      <c r="A505" t="inlineStr">
        <is>
          <t>VA</t>
        </is>
      </c>
      <c r="B505" t="n">
        <v>2019</v>
      </c>
      <c r="C505" s="21" t="n">
        <v>1581647</v>
      </c>
      <c r="D505" s="22" t="n">
        <v>9.964933608000001</v>
      </c>
      <c r="E505" s="15" t="n">
        <v>9572.35</v>
      </c>
      <c r="F505" s="23" t="n">
        <v>0.2748</v>
      </c>
      <c r="G505" s="23" t="n">
        <v>0.1696</v>
      </c>
      <c r="H505" s="23" t="n">
        <v>0.1037</v>
      </c>
      <c r="I505" s="23" t="n">
        <v>0.0667</v>
      </c>
      <c r="J505" s="23" t="n">
        <v>0.0209</v>
      </c>
      <c r="K505" s="23" t="n">
        <v>0.0488</v>
      </c>
      <c r="L505" s="23" t="n">
        <v>0.0517</v>
      </c>
      <c r="M505" s="23" t="n">
        <v>0.0363</v>
      </c>
      <c r="N505" s="21" t="n">
        <v>250.0759</v>
      </c>
      <c r="O505" s="21" t="n">
        <v>671.6186</v>
      </c>
      <c r="P505" s="23" t="n">
        <v>0.1746</v>
      </c>
      <c r="Q505" s="23" t="n">
        <v>0.1293</v>
      </c>
      <c r="R505" s="24" t="n">
        <v>72</v>
      </c>
    </row>
    <row r="506">
      <c r="A506" s="25" t="inlineStr">
        <is>
          <t>VA</t>
        </is>
      </c>
      <c r="B506" s="25" t="n">
        <v>2020</v>
      </c>
      <c r="C506" s="26" t="n">
        <v>1619586</v>
      </c>
      <c r="D506" s="27" t="n">
        <v>9.139722779</v>
      </c>
      <c r="E506" s="28" t="n">
        <v>8978.15</v>
      </c>
      <c r="F506" s="29" t="n">
        <v>0.2642</v>
      </c>
      <c r="G506" s="29" t="n">
        <v>0.171</v>
      </c>
      <c r="H506" s="29" t="n">
        <v>0.0982</v>
      </c>
      <c r="I506" s="29" t="n">
        <v>0.068</v>
      </c>
      <c r="J506" s="29" t="n">
        <v>0.0238</v>
      </c>
      <c r="K506" s="29" t="n">
        <v>0.0495</v>
      </c>
      <c r="L506" s="29" t="n">
        <v>0.0481</v>
      </c>
      <c r="M506" s="29" t="n">
        <v>0.04</v>
      </c>
      <c r="N506" s="26" t="n">
        <v>206.1295</v>
      </c>
      <c r="O506" s="26" t="n">
        <v>530.6897</v>
      </c>
      <c r="P506" s="29" t="n">
        <v>0.1725</v>
      </c>
      <c r="Q506" s="29" t="n">
        <v>0.1115</v>
      </c>
      <c r="R506" s="30" t="n">
        <v>73</v>
      </c>
    </row>
    <row r="507">
      <c r="A507" t="inlineStr">
        <is>
          <t>VA</t>
        </is>
      </c>
      <c r="B507" t="n">
        <v>2021</v>
      </c>
      <c r="C507" s="21" t="n">
        <v>1652019</v>
      </c>
      <c r="D507" s="22" t="n">
        <v>9.409025618999999</v>
      </c>
      <c r="E507" s="15" t="n">
        <v>9700.23</v>
      </c>
      <c r="F507" s="23" t="n">
        <v>0.2519</v>
      </c>
      <c r="G507" s="23" t="n">
        <v>0.1818</v>
      </c>
      <c r="H507" s="23" t="n">
        <v>0.108</v>
      </c>
      <c r="I507" s="23" t="n">
        <v>0.06469999999999999</v>
      </c>
      <c r="J507" s="23" t="n">
        <v>0.0237</v>
      </c>
      <c r="K507" s="23" t="n">
        <v>0.0466</v>
      </c>
      <c r="L507" s="23" t="n">
        <v>0.0485</v>
      </c>
      <c r="M507" s="23" t="n">
        <v>0.0378</v>
      </c>
      <c r="N507" s="21" t="n">
        <v>200.2309</v>
      </c>
      <c r="O507" s="21" t="n">
        <v>552.2671</v>
      </c>
      <c r="P507" s="23" t="n">
        <v>0.1745</v>
      </c>
      <c r="Q507" s="23" t="n">
        <v>0.09619999999999999</v>
      </c>
      <c r="R507" s="24" t="n">
        <v>73</v>
      </c>
    </row>
    <row r="508">
      <c r="A508" s="25" t="inlineStr">
        <is>
          <t>VA</t>
        </is>
      </c>
      <c r="B508" s="25" t="n">
        <v>2022</v>
      </c>
      <c r="C508" s="26" t="n">
        <v>1686075</v>
      </c>
      <c r="D508" s="27" t="n">
        <v>9.29951237</v>
      </c>
      <c r="E508" s="28" t="n">
        <v>10038.02</v>
      </c>
      <c r="F508" s="29" t="n">
        <v>0.2447</v>
      </c>
      <c r="G508" s="29" t="n">
        <v>0.1865</v>
      </c>
      <c r="H508" s="29" t="n">
        <v>0.1057</v>
      </c>
      <c r="I508" s="29" t="n">
        <v>0.07000000000000001</v>
      </c>
      <c r="J508" s="29" t="n">
        <v>0.0264</v>
      </c>
      <c r="K508" s="29" t="n">
        <v>0.0444</v>
      </c>
      <c r="L508" s="29" t="n">
        <v>0.0475</v>
      </c>
      <c r="M508" s="29" t="n">
        <v>0.0382</v>
      </c>
      <c r="N508" s="26" t="n">
        <v>199.5339</v>
      </c>
      <c r="O508" s="26" t="n">
        <v>572.1387999999999</v>
      </c>
      <c r="P508" s="29" t="n">
        <v>0.1702</v>
      </c>
      <c r="Q508" s="29" t="n">
        <v>0.0857</v>
      </c>
      <c r="R508" s="30" t="n">
        <v>74</v>
      </c>
    </row>
    <row r="509">
      <c r="A509" t="inlineStr">
        <is>
          <t>VA</t>
        </is>
      </c>
      <c r="B509" t="n">
        <v>2023</v>
      </c>
      <c r="C509" s="21" t="n">
        <v>1722838</v>
      </c>
      <c r="D509" s="22" t="n">
        <v>9.648667864</v>
      </c>
      <c r="E509" s="15" t="n">
        <v>10773.64</v>
      </c>
      <c r="F509" s="23" t="n">
        <v>0.2367</v>
      </c>
      <c r="G509" s="23" t="n">
        <v>0.1915</v>
      </c>
      <c r="H509" s="23" t="n">
        <v>0.1036</v>
      </c>
      <c r="I509" s="23" t="n">
        <v>0.0621</v>
      </c>
      <c r="J509" s="23" t="n">
        <v>0.0381</v>
      </c>
      <c r="K509" s="23" t="n">
        <v>0.0408</v>
      </c>
      <c r="L509" s="23" t="n">
        <v>0.0463</v>
      </c>
      <c r="M509" s="23" t="n">
        <v>0.038</v>
      </c>
      <c r="N509" s="21" t="n">
        <v>204.5845</v>
      </c>
      <c r="O509" s="21" t="n">
        <v>584.6149</v>
      </c>
      <c r="P509" s="23" t="n">
        <v>0.1686</v>
      </c>
      <c r="Q509" s="23" t="n">
        <v>0.0872</v>
      </c>
      <c r="R509" s="24" t="n">
        <v>74</v>
      </c>
    </row>
    <row r="510">
      <c r="A510" s="25" t="inlineStr">
        <is>
          <t>VA</t>
        </is>
      </c>
      <c r="B510" s="25" t="n">
        <v>2024</v>
      </c>
      <c r="C510" s="26" t="n">
        <v>1765064</v>
      </c>
      <c r="D510" s="27" t="n">
        <v>10.047912456</v>
      </c>
      <c r="E510" s="28" t="n">
        <v>11442.78</v>
      </c>
      <c r="F510" s="29" t="n">
        <v>0.2342</v>
      </c>
      <c r="G510" s="29" t="n">
        <v>0.1933</v>
      </c>
      <c r="H510" s="29" t="n">
        <v>0.1016</v>
      </c>
      <c r="I510" s="29" t="n">
        <v>0.0608</v>
      </c>
      <c r="J510" s="29" t="n">
        <v>0.042</v>
      </c>
      <c r="K510" s="29" t="n">
        <v>0.0388</v>
      </c>
      <c r="L510" s="29" t="n">
        <v>0.0443</v>
      </c>
      <c r="M510" s="29" t="n">
        <v>0.0365</v>
      </c>
      <c r="N510" s="26" t="n">
        <v>207.2358</v>
      </c>
      <c r="O510" s="26" t="n">
        <v>597.5873</v>
      </c>
      <c r="P510" s="29" t="n">
        <v>0.1724</v>
      </c>
      <c r="Q510" s="29" t="n">
        <v>0.075</v>
      </c>
      <c r="R510" s="30" t="n">
        <v>74</v>
      </c>
    </row>
    <row r="511">
      <c r="A511" t="inlineStr">
        <is>
          <t>VT</t>
        </is>
      </c>
      <c r="B511" t="n">
        <v>2014</v>
      </c>
      <c r="C511" s="21" t="n">
        <v>134317</v>
      </c>
      <c r="D511" s="22" t="n">
        <v>0.784750922</v>
      </c>
      <c r="E511" s="15" t="n">
        <v>7050.65</v>
      </c>
      <c r="F511" s="23" t="n">
        <v>0.2757</v>
      </c>
      <c r="G511" s="23" t="n">
        <v>0.2519</v>
      </c>
      <c r="H511" s="23" t="n">
        <v>0.09420000000000001</v>
      </c>
      <c r="I511" s="23" t="n">
        <v>0.1017</v>
      </c>
      <c r="J511" s="23" t="n">
        <v>0.0236</v>
      </c>
      <c r="K511" s="23" t="n">
        <v>0.0538</v>
      </c>
      <c r="L511" s="23" t="n">
        <v>0.041</v>
      </c>
      <c r="M511" s="23" t="n">
        <v>0.0238</v>
      </c>
      <c r="N511" s="21" t="n">
        <v>210.0411</v>
      </c>
      <c r="O511" s="21" t="n">
        <v>651.5966</v>
      </c>
      <c r="P511" s="23" t="n">
        <v>0.1533</v>
      </c>
      <c r="Q511" s="23" t="n">
        <v>0.2633</v>
      </c>
      <c r="R511" s="24" t="n">
        <v>71</v>
      </c>
    </row>
    <row r="512">
      <c r="A512" s="25" t="inlineStr">
        <is>
          <t>VT</t>
        </is>
      </c>
      <c r="B512" s="25" t="n">
        <v>2015</v>
      </c>
      <c r="C512" s="26" t="n">
        <v>137870</v>
      </c>
      <c r="D512" s="27" t="n">
        <v>0.841918999</v>
      </c>
      <c r="E512" s="28" t="n">
        <v>7391.22</v>
      </c>
      <c r="F512" s="29" t="n">
        <v>0.2714</v>
      </c>
      <c r="G512" s="29" t="n">
        <v>0.2512</v>
      </c>
      <c r="H512" s="29" t="n">
        <v>0.0917</v>
      </c>
      <c r="I512" s="29" t="n">
        <v>0.0992</v>
      </c>
      <c r="J512" s="29" t="n">
        <v>0.0247</v>
      </c>
      <c r="K512" s="29" t="n">
        <v>0.0546</v>
      </c>
      <c r="L512" s="29" t="n">
        <v>0.0395</v>
      </c>
      <c r="M512" s="29" t="n">
        <v>0.0258</v>
      </c>
      <c r="N512" s="26" t="n">
        <v>219.6158</v>
      </c>
      <c r="O512" s="26" t="n">
        <v>675.4837</v>
      </c>
      <c r="P512" s="29" t="n">
        <v>0.1635</v>
      </c>
      <c r="Q512" s="29" t="n">
        <v>0.2596</v>
      </c>
      <c r="R512" s="30" t="n">
        <v>71</v>
      </c>
    </row>
    <row r="513">
      <c r="A513" t="inlineStr">
        <is>
          <t>VT</t>
        </is>
      </c>
      <c r="B513" t="n">
        <v>2016</v>
      </c>
      <c r="C513" s="21" t="n">
        <v>141832</v>
      </c>
      <c r="D513" s="22" t="n">
        <v>0.87938662</v>
      </c>
      <c r="E513" s="15" t="n">
        <v>7540.94</v>
      </c>
      <c r="F513" s="23" t="n">
        <v>0.2748</v>
      </c>
      <c r="G513" s="23" t="n">
        <v>0.2686</v>
      </c>
      <c r="H513" s="23" t="n">
        <v>0.08690000000000001</v>
      </c>
      <c r="I513" s="23" t="n">
        <v>0.0897</v>
      </c>
      <c r="J513" s="23" t="n">
        <v>0.0188</v>
      </c>
      <c r="K513" s="23" t="n">
        <v>0.0535</v>
      </c>
      <c r="L513" s="23" t="n">
        <v>0.0389</v>
      </c>
      <c r="M513" s="23" t="n">
        <v>0.0303</v>
      </c>
      <c r="N513" s="21" t="n">
        <v>218.8226</v>
      </c>
      <c r="O513" s="21" t="n">
        <v>662.2732999999999</v>
      </c>
      <c r="P513" s="23" t="n">
        <v>0.1622</v>
      </c>
      <c r="Q513" s="23" t="n">
        <v>0.2549</v>
      </c>
      <c r="R513" s="24" t="n">
        <v>71</v>
      </c>
    </row>
    <row r="514">
      <c r="A514" s="25" t="inlineStr">
        <is>
          <t>VT</t>
        </is>
      </c>
      <c r="B514" s="25" t="n">
        <v>2017</v>
      </c>
      <c r="C514" s="26" t="n">
        <v>145641</v>
      </c>
      <c r="D514" s="27" t="n">
        <v>0.898777272</v>
      </c>
      <c r="E514" s="28" t="n">
        <v>7669.66</v>
      </c>
      <c r="F514" s="29" t="n">
        <v>0.2707</v>
      </c>
      <c r="G514" s="29" t="n">
        <v>0.2787</v>
      </c>
      <c r="H514" s="29" t="n">
        <v>0.0767</v>
      </c>
      <c r="I514" s="29" t="n">
        <v>0.08989999999999999</v>
      </c>
      <c r="J514" s="29" t="n">
        <v>0.0171</v>
      </c>
      <c r="K514" s="29" t="n">
        <v>0.0556</v>
      </c>
      <c r="L514" s="29" t="n">
        <v>0.0378</v>
      </c>
      <c r="M514" s="29" t="n">
        <v>0.0333</v>
      </c>
      <c r="N514" s="26" t="n">
        <v>220.5724</v>
      </c>
      <c r="O514" s="26" t="n">
        <v>661.7599</v>
      </c>
      <c r="P514" s="29" t="n">
        <v>0.1576</v>
      </c>
      <c r="Q514" s="29" t="n">
        <v>0.2479</v>
      </c>
      <c r="R514" s="30" t="n">
        <v>71</v>
      </c>
    </row>
    <row r="515">
      <c r="A515" t="inlineStr">
        <is>
          <t>VT</t>
        </is>
      </c>
      <c r="B515" t="n">
        <v>2018</v>
      </c>
      <c r="C515" s="21" t="n">
        <v>150295</v>
      </c>
      <c r="D515" s="22" t="n">
        <v>0.918277168</v>
      </c>
      <c r="E515" s="15" t="n">
        <v>7716.87</v>
      </c>
      <c r="F515" s="23" t="n">
        <v>0.2754</v>
      </c>
      <c r="G515" s="23" t="n">
        <v>0.2728</v>
      </c>
      <c r="H515" s="23" t="n">
        <v>0.0769</v>
      </c>
      <c r="I515" s="23" t="n">
        <v>0.0876</v>
      </c>
      <c r="J515" s="23" t="n">
        <v>0.0171</v>
      </c>
      <c r="K515" s="23" t="n">
        <v>0.0562</v>
      </c>
      <c r="L515" s="23" t="n">
        <v>0.0378</v>
      </c>
      <c r="M515" s="23" t="n">
        <v>0.036</v>
      </c>
      <c r="N515" s="21" t="n">
        <v>219.0158</v>
      </c>
      <c r="O515" s="21" t="n">
        <v>670.5771999999999</v>
      </c>
      <c r="P515" s="23" t="n">
        <v>0.1599</v>
      </c>
      <c r="Q515" s="23" t="n">
        <v>0.2412</v>
      </c>
      <c r="R515" s="24" t="n">
        <v>71</v>
      </c>
    </row>
    <row r="516">
      <c r="A516" s="25" t="inlineStr">
        <is>
          <t>VT</t>
        </is>
      </c>
      <c r="B516" s="25" t="n">
        <v>2019</v>
      </c>
      <c r="C516" s="26" t="n">
        <v>154044</v>
      </c>
      <c r="D516" s="27" t="n">
        <v>0.932942729</v>
      </c>
      <c r="E516" s="28" t="n">
        <v>7818.83</v>
      </c>
      <c r="F516" s="29" t="n">
        <v>0.2804</v>
      </c>
      <c r="G516" s="29" t="n">
        <v>0.2604</v>
      </c>
      <c r="H516" s="29" t="n">
        <v>0.0776</v>
      </c>
      <c r="I516" s="29" t="n">
        <v>0.0888</v>
      </c>
      <c r="J516" s="29" t="n">
        <v>0.0181</v>
      </c>
      <c r="K516" s="29" t="n">
        <v>0.0558</v>
      </c>
      <c r="L516" s="29" t="n">
        <v>0.0374</v>
      </c>
      <c r="M516" s="29" t="n">
        <v>0.0392</v>
      </c>
      <c r="N516" s="26" t="n">
        <v>213.8367</v>
      </c>
      <c r="O516" s="26" t="n">
        <v>669.8961</v>
      </c>
      <c r="P516" s="29" t="n">
        <v>0.1674</v>
      </c>
      <c r="Q516" s="29" t="n">
        <v>0.2332</v>
      </c>
      <c r="R516" s="30" t="n">
        <v>71</v>
      </c>
    </row>
    <row r="517">
      <c r="A517" t="inlineStr">
        <is>
          <t>VT</t>
        </is>
      </c>
      <c r="B517" t="n">
        <v>2020</v>
      </c>
      <c r="C517" s="21" t="n">
        <v>158120</v>
      </c>
      <c r="D517" s="22" t="n">
        <v>0.865469607</v>
      </c>
      <c r="E517" s="15" t="n">
        <v>7273.65</v>
      </c>
      <c r="F517" s="23" t="n">
        <v>0.2733</v>
      </c>
      <c r="G517" s="23" t="n">
        <v>0.2655</v>
      </c>
      <c r="H517" s="23" t="n">
        <v>0.0772</v>
      </c>
      <c r="I517" s="23" t="n">
        <v>0.08699999999999999</v>
      </c>
      <c r="J517" s="23" t="n">
        <v>0.0204</v>
      </c>
      <c r="K517" s="23" t="n">
        <v>0.0604</v>
      </c>
      <c r="L517" s="23" t="n">
        <v>0.0334</v>
      </c>
      <c r="M517" s="23" t="n">
        <v>0.0437</v>
      </c>
      <c r="N517" s="21" t="n">
        <v>177.5656</v>
      </c>
      <c r="O517" s="21" t="n">
        <v>541.7735</v>
      </c>
      <c r="P517" s="23" t="n">
        <v>0.1634</v>
      </c>
      <c r="Q517" s="23" t="n">
        <v>0.2202</v>
      </c>
      <c r="R517" s="24" t="n">
        <v>72</v>
      </c>
    </row>
    <row r="518">
      <c r="A518" s="25" t="inlineStr">
        <is>
          <t>VT</t>
        </is>
      </c>
      <c r="B518" s="25" t="n">
        <v>2021</v>
      </c>
      <c r="C518" s="26" t="n">
        <v>161905</v>
      </c>
      <c r="D518" s="27" t="n">
        <v>0.9228019119999999</v>
      </c>
      <c r="E518" s="28" t="n">
        <v>8137.22</v>
      </c>
      <c r="F518" s="29" t="n">
        <v>0.2604</v>
      </c>
      <c r="G518" s="29" t="n">
        <v>0.2782</v>
      </c>
      <c r="H518" s="29" t="n">
        <v>0.08309999999999999</v>
      </c>
      <c r="I518" s="29" t="n">
        <v>0.0916</v>
      </c>
      <c r="J518" s="29" t="n">
        <v>0.0201</v>
      </c>
      <c r="K518" s="29" t="n">
        <v>0.0577</v>
      </c>
      <c r="L518" s="29" t="n">
        <v>0.0324</v>
      </c>
      <c r="M518" s="29" t="n">
        <v>0.04</v>
      </c>
      <c r="N518" s="26" t="n">
        <v>176.9587</v>
      </c>
      <c r="O518" s="26" t="n">
        <v>585.4503999999999</v>
      </c>
      <c r="P518" s="29" t="n">
        <v>0.1637</v>
      </c>
      <c r="Q518" s="29" t="n">
        <v>0.2113</v>
      </c>
      <c r="R518" s="30" t="n">
        <v>72</v>
      </c>
    </row>
    <row r="519">
      <c r="A519" t="inlineStr">
        <is>
          <t>VT</t>
        </is>
      </c>
      <c r="B519" t="n">
        <v>2022</v>
      </c>
      <c r="C519" s="21" t="n">
        <v>165721</v>
      </c>
      <c r="D519" s="22" t="n">
        <v>0.896607163</v>
      </c>
      <c r="E519" s="15" t="n">
        <v>8567.43</v>
      </c>
      <c r="F519" s="23" t="n">
        <v>0.2635</v>
      </c>
      <c r="G519" s="23" t="n">
        <v>0.279</v>
      </c>
      <c r="H519" s="23" t="n">
        <v>0.0786</v>
      </c>
      <c r="I519" s="23" t="n">
        <v>0.0968</v>
      </c>
      <c r="J519" s="23" t="n">
        <v>0.0213</v>
      </c>
      <c r="K519" s="23" t="n">
        <v>0.0545</v>
      </c>
      <c r="L519" s="23" t="n">
        <v>0.0316</v>
      </c>
      <c r="M519" s="23" t="n">
        <v>0.0376</v>
      </c>
      <c r="N519" s="21" t="n">
        <v>175.6662</v>
      </c>
      <c r="O519" s="21" t="n">
        <v>626.7569999999999</v>
      </c>
      <c r="P519" s="23" t="n">
        <v>0.1633</v>
      </c>
      <c r="Q519" s="23" t="n">
        <v>0.2151</v>
      </c>
      <c r="R519" s="24" t="n">
        <v>72</v>
      </c>
    </row>
    <row r="520">
      <c r="A520" s="25" t="inlineStr">
        <is>
          <t>VT</t>
        </is>
      </c>
      <c r="B520" s="25" t="n">
        <v>2023</v>
      </c>
      <c r="C520" s="26" t="n">
        <v>169047</v>
      </c>
      <c r="D520" s="27" t="n">
        <v>0.9402383010000001</v>
      </c>
      <c r="E520" s="28" t="n">
        <v>9314.450000000001</v>
      </c>
      <c r="F520" s="29" t="n">
        <v>0.2624</v>
      </c>
      <c r="G520" s="29" t="n">
        <v>0.2871</v>
      </c>
      <c r="H520" s="29" t="n">
        <v>0.07530000000000001</v>
      </c>
      <c r="I520" s="29" t="n">
        <v>0.0858</v>
      </c>
      <c r="J520" s="29" t="n">
        <v>0.0298</v>
      </c>
      <c r="K520" s="29" t="n">
        <v>0.0487</v>
      </c>
      <c r="L520" s="29" t="n">
        <v>0.0302</v>
      </c>
      <c r="M520" s="29" t="n">
        <v>0.0355</v>
      </c>
      <c r="N520" s="26" t="n">
        <v>180.5853</v>
      </c>
      <c r="O520" s="26" t="n">
        <v>657.1961</v>
      </c>
      <c r="P520" s="29" t="n">
        <v>0.1628</v>
      </c>
      <c r="Q520" s="29" t="n">
        <v>0.2192</v>
      </c>
      <c r="R520" s="30" t="n">
        <v>72</v>
      </c>
    </row>
    <row r="521">
      <c r="A521" t="inlineStr">
        <is>
          <t>VT</t>
        </is>
      </c>
      <c r="B521" t="n">
        <v>2024</v>
      </c>
      <c r="C521" s="21" t="n">
        <v>172215</v>
      </c>
      <c r="D521" s="22" t="n">
        <v>0.950586982</v>
      </c>
      <c r="E521" s="15" t="n">
        <v>9544.33</v>
      </c>
      <c r="F521" s="23" t="n">
        <v>0.2489</v>
      </c>
      <c r="G521" s="23" t="n">
        <v>0.3072</v>
      </c>
      <c r="H521" s="23" t="n">
        <v>0.0764</v>
      </c>
      <c r="I521" s="23" t="n">
        <v>0.0814</v>
      </c>
      <c r="J521" s="23" t="n">
        <v>0.0281</v>
      </c>
      <c r="K521" s="23" t="n">
        <v>0.0459</v>
      </c>
      <c r="L521" s="23" t="n">
        <v>0.0293</v>
      </c>
      <c r="M521" s="23" t="n">
        <v>0.0324</v>
      </c>
      <c r="N521" s="21" t="n">
        <v>177.907</v>
      </c>
      <c r="O521" s="21" t="n">
        <v>671.5463</v>
      </c>
      <c r="P521" s="23" t="n">
        <v>0.1662</v>
      </c>
      <c r="Q521" s="23" t="n">
        <v>0.2089</v>
      </c>
      <c r="R521" s="24" t="n">
        <v>72</v>
      </c>
    </row>
    <row r="522">
      <c r="A522" s="25" t="inlineStr">
        <is>
          <t>WA</t>
        </is>
      </c>
      <c r="B522" s="25" t="n">
        <v>2014</v>
      </c>
      <c r="C522" s="26" t="n">
        <v>1206057</v>
      </c>
      <c r="D522" s="27" t="n">
        <v>5.328782771</v>
      </c>
      <c r="E522" s="28" t="n">
        <v>7386.45</v>
      </c>
      <c r="F522" s="29" t="n">
        <v>0.3009</v>
      </c>
      <c r="G522" s="29" t="n">
        <v>0.1752</v>
      </c>
      <c r="H522" s="29" t="n">
        <v>0.094</v>
      </c>
      <c r="I522" s="29" t="n">
        <v>0.0925</v>
      </c>
      <c r="J522" s="29" t="n">
        <v>0.0252</v>
      </c>
      <c r="K522" s="29" t="n">
        <v>0.0333</v>
      </c>
      <c r="L522" s="29" t="n">
        <v>0.0532</v>
      </c>
      <c r="M522" s="29" t="n">
        <v>0.0279</v>
      </c>
      <c r="N522" s="26" t="n">
        <v>220.8304</v>
      </c>
      <c r="O522" s="26" t="n">
        <v>607.0815</v>
      </c>
      <c r="P522" s="29" t="n">
        <v>0.1561</v>
      </c>
      <c r="Q522" s="29" t="n">
        <v>0.1977</v>
      </c>
      <c r="R522" s="30" t="n">
        <v>71</v>
      </c>
    </row>
    <row r="523">
      <c r="A523" t="inlineStr">
        <is>
          <t>WA</t>
        </is>
      </c>
      <c r="B523" t="n">
        <v>2015</v>
      </c>
      <c r="C523" s="21" t="n">
        <v>1252610</v>
      </c>
      <c r="D523" s="22" t="n">
        <v>5.66823591</v>
      </c>
      <c r="E523" s="15" t="n">
        <v>7619.39</v>
      </c>
      <c r="F523" s="23" t="n">
        <v>0.296</v>
      </c>
      <c r="G523" s="23" t="n">
        <v>0.1808</v>
      </c>
      <c r="H523" s="23" t="n">
        <v>0.093</v>
      </c>
      <c r="I523" s="23" t="n">
        <v>0.08939999999999999</v>
      </c>
      <c r="J523" s="23" t="n">
        <v>0.0267</v>
      </c>
      <c r="K523" s="23" t="n">
        <v>0.0342</v>
      </c>
      <c r="L523" s="23" t="n">
        <v>0.0525</v>
      </c>
      <c r="M523" s="23" t="n">
        <v>0.0291</v>
      </c>
      <c r="N523" s="21" t="n">
        <v>218.7323</v>
      </c>
      <c r="O523" s="21" t="n">
        <v>625.4088</v>
      </c>
      <c r="P523" s="23" t="n">
        <v>0.1566</v>
      </c>
      <c r="Q523" s="23" t="n">
        <v>0.1943</v>
      </c>
      <c r="R523" s="24" t="n">
        <v>71</v>
      </c>
    </row>
    <row r="524">
      <c r="A524" s="25" t="inlineStr">
        <is>
          <t>WA</t>
        </is>
      </c>
      <c r="B524" s="25" t="n">
        <v>2016</v>
      </c>
      <c r="C524" s="26" t="n">
        <v>1296345</v>
      </c>
      <c r="D524" s="27" t="n">
        <v>5.894000982</v>
      </c>
      <c r="E524" s="28" t="n">
        <v>7680.17</v>
      </c>
      <c r="F524" s="29" t="n">
        <v>0.2925</v>
      </c>
      <c r="G524" s="29" t="n">
        <v>0.1897</v>
      </c>
      <c r="H524" s="29" t="n">
        <v>0.08989999999999999</v>
      </c>
      <c r="I524" s="29" t="n">
        <v>0.0862</v>
      </c>
      <c r="J524" s="29" t="n">
        <v>0.0227</v>
      </c>
      <c r="K524" s="29" t="n">
        <v>0.036</v>
      </c>
      <c r="L524" s="29" t="n">
        <v>0.0521</v>
      </c>
      <c r="M524" s="29" t="n">
        <v>0.0306</v>
      </c>
      <c r="N524" s="26" t="n">
        <v>212.0295</v>
      </c>
      <c r="O524" s="26" t="n">
        <v>626.4759</v>
      </c>
      <c r="P524" s="29" t="n">
        <v>0.1548</v>
      </c>
      <c r="Q524" s="29" t="n">
        <v>0.1891</v>
      </c>
      <c r="R524" s="30" t="n">
        <v>72</v>
      </c>
    </row>
    <row r="525">
      <c r="A525" t="inlineStr">
        <is>
          <t>WA</t>
        </is>
      </c>
      <c r="B525" t="n">
        <v>2017</v>
      </c>
      <c r="C525" s="21" t="n">
        <v>1338611</v>
      </c>
      <c r="D525" s="22" t="n">
        <v>6.161567094</v>
      </c>
      <c r="E525" s="15" t="n">
        <v>7885.32</v>
      </c>
      <c r="F525" s="23" t="n">
        <v>0.2919</v>
      </c>
      <c r="G525" s="23" t="n">
        <v>0.1989</v>
      </c>
      <c r="H525" s="23" t="n">
        <v>0.0891</v>
      </c>
      <c r="I525" s="23" t="n">
        <v>0.0828</v>
      </c>
      <c r="J525" s="23" t="n">
        <v>0.0211</v>
      </c>
      <c r="K525" s="23" t="n">
        <v>0.0363</v>
      </c>
      <c r="L525" s="23" t="n">
        <v>0.0509</v>
      </c>
      <c r="M525" s="23" t="n">
        <v>0.0312</v>
      </c>
      <c r="N525" s="21" t="n">
        <v>213.3768</v>
      </c>
      <c r="O525" s="21" t="n">
        <v>625.2392</v>
      </c>
      <c r="P525" s="23" t="n">
        <v>0.1572</v>
      </c>
      <c r="Q525" s="23" t="n">
        <v>0.1836</v>
      </c>
      <c r="R525" s="24" t="n">
        <v>72</v>
      </c>
    </row>
    <row r="526">
      <c r="A526" s="25" t="inlineStr">
        <is>
          <t>WA</t>
        </is>
      </c>
      <c r="B526" s="25" t="n">
        <v>2018</v>
      </c>
      <c r="C526" s="26" t="n">
        <v>1383859</v>
      </c>
      <c r="D526" s="27" t="n">
        <v>6.404561784</v>
      </c>
      <c r="E526" s="28" t="n">
        <v>8154.52</v>
      </c>
      <c r="F526" s="29" t="n">
        <v>0.2776</v>
      </c>
      <c r="G526" s="29" t="n">
        <v>0.2156</v>
      </c>
      <c r="H526" s="29" t="n">
        <v>0.08799999999999999</v>
      </c>
      <c r="I526" s="29" t="n">
        <v>0.07679999999999999</v>
      </c>
      <c r="J526" s="29" t="n">
        <v>0.0225</v>
      </c>
      <c r="K526" s="29" t="n">
        <v>0.0359</v>
      </c>
      <c r="L526" s="29" t="n">
        <v>0.0504</v>
      </c>
      <c r="M526" s="29" t="n">
        <v>0.0316</v>
      </c>
      <c r="N526" s="26" t="n">
        <v>206.2911</v>
      </c>
      <c r="O526" s="26" t="n">
        <v>614.4601</v>
      </c>
      <c r="P526" s="29" t="n">
        <v>0.1567</v>
      </c>
      <c r="Q526" s="29" t="n">
        <v>0.1733</v>
      </c>
      <c r="R526" s="30" t="n">
        <v>72</v>
      </c>
    </row>
    <row r="527">
      <c r="A527" t="inlineStr">
        <is>
          <t>WA</t>
        </is>
      </c>
      <c r="B527" t="n">
        <v>2019</v>
      </c>
      <c r="C527" s="21" t="n">
        <v>1426634</v>
      </c>
      <c r="D527" s="22" t="n">
        <v>6.506935349</v>
      </c>
      <c r="E527" s="15" t="n">
        <v>8310.41</v>
      </c>
      <c r="F527" s="23" t="n">
        <v>0.2752</v>
      </c>
      <c r="G527" s="23" t="n">
        <v>0.222</v>
      </c>
      <c r="H527" s="23" t="n">
        <v>0.0872</v>
      </c>
      <c r="I527" s="23" t="n">
        <v>0.0731</v>
      </c>
      <c r="J527" s="23" t="n">
        <v>0.0228</v>
      </c>
      <c r="K527" s="23" t="n">
        <v>0.0349</v>
      </c>
      <c r="L527" s="23" t="n">
        <v>0.0503</v>
      </c>
      <c r="M527" s="23" t="n">
        <v>0.0321</v>
      </c>
      <c r="N527" s="21" t="n">
        <v>200.2513</v>
      </c>
      <c r="O527" s="21" t="n">
        <v>610.1948</v>
      </c>
      <c r="P527" s="23" t="n">
        <v>0.1587</v>
      </c>
      <c r="Q527" s="23" t="n">
        <v>0.1619</v>
      </c>
      <c r="R527" s="24" t="n">
        <v>72</v>
      </c>
    </row>
    <row r="528">
      <c r="A528" s="25" t="inlineStr">
        <is>
          <t>WA</t>
        </is>
      </c>
      <c r="B528" s="25" t="n">
        <v>2020</v>
      </c>
      <c r="C528" s="26" t="n">
        <v>1462640</v>
      </c>
      <c r="D528" s="27" t="n">
        <v>5.980347538</v>
      </c>
      <c r="E528" s="28" t="n">
        <v>7751.77</v>
      </c>
      <c r="F528" s="29" t="n">
        <v>0.2628</v>
      </c>
      <c r="G528" s="29" t="n">
        <v>0.2304</v>
      </c>
      <c r="H528" s="29" t="n">
        <v>0.0837</v>
      </c>
      <c r="I528" s="29" t="n">
        <v>0.0727</v>
      </c>
      <c r="J528" s="29" t="n">
        <v>0.0268</v>
      </c>
      <c r="K528" s="29" t="n">
        <v>0.0363</v>
      </c>
      <c r="L528" s="29" t="n">
        <v>0.0467</v>
      </c>
      <c r="M528" s="29" t="n">
        <v>0.0347</v>
      </c>
      <c r="N528" s="26" t="n">
        <v>165.8224</v>
      </c>
      <c r="O528" s="26" t="n">
        <v>500.6325</v>
      </c>
      <c r="P528" s="29" t="n">
        <v>0.1541</v>
      </c>
      <c r="Q528" s="29" t="n">
        <v>0.155</v>
      </c>
      <c r="R528" s="30" t="n">
        <v>72</v>
      </c>
    </row>
    <row r="529">
      <c r="A529" t="inlineStr">
        <is>
          <t>WA</t>
        </is>
      </c>
      <c r="B529" t="n">
        <v>2021</v>
      </c>
      <c r="C529" s="21" t="n">
        <v>1496825</v>
      </c>
      <c r="D529" s="22" t="n">
        <v>6.277728804</v>
      </c>
      <c r="E529" s="15" t="n">
        <v>8401.620000000001</v>
      </c>
      <c r="F529" s="23" t="n">
        <v>0.2486</v>
      </c>
      <c r="G529" s="23" t="n">
        <v>0.2432</v>
      </c>
      <c r="H529" s="23" t="n">
        <v>0.09329999999999999</v>
      </c>
      <c r="I529" s="23" t="n">
        <v>0.06619999999999999</v>
      </c>
      <c r="J529" s="23" t="n">
        <v>0.026</v>
      </c>
      <c r="K529" s="23" t="n">
        <v>0.0364</v>
      </c>
      <c r="L529" s="23" t="n">
        <v>0.0462</v>
      </c>
      <c r="M529" s="23" t="n">
        <v>0.0311</v>
      </c>
      <c r="N529" s="21" t="n">
        <v>161.4858</v>
      </c>
      <c r="O529" s="21" t="n">
        <v>533.6099</v>
      </c>
      <c r="P529" s="23" t="n">
        <v>0.1559</v>
      </c>
      <c r="Q529" s="23" t="n">
        <v>0.1523</v>
      </c>
      <c r="R529" s="24" t="n">
        <v>73</v>
      </c>
    </row>
    <row r="530">
      <c r="A530" s="25" t="inlineStr">
        <is>
          <t>WA</t>
        </is>
      </c>
      <c r="B530" s="25" t="n">
        <v>2022</v>
      </c>
      <c r="C530" s="26" t="n">
        <v>1525506</v>
      </c>
      <c r="D530" s="27" t="n">
        <v>6.305799887</v>
      </c>
      <c r="E530" s="28" t="n">
        <v>8756.02</v>
      </c>
      <c r="F530" s="29" t="n">
        <v>0.2504</v>
      </c>
      <c r="G530" s="29" t="n">
        <v>0.2475</v>
      </c>
      <c r="H530" s="29" t="n">
        <v>0.0891</v>
      </c>
      <c r="I530" s="29" t="n">
        <v>0.06759999999999999</v>
      </c>
      <c r="J530" s="29" t="n">
        <v>0.0285</v>
      </c>
      <c r="K530" s="29" t="n">
        <v>0.0356</v>
      </c>
      <c r="L530" s="29" t="n">
        <v>0.0455</v>
      </c>
      <c r="M530" s="29" t="n">
        <v>0.03</v>
      </c>
      <c r="N530" s="26" t="n">
        <v>163.351</v>
      </c>
      <c r="O530" s="26" t="n">
        <v>548.5422</v>
      </c>
      <c r="P530" s="29" t="n">
        <v>0.1511</v>
      </c>
      <c r="Q530" s="29" t="n">
        <v>0.1478</v>
      </c>
      <c r="R530" s="30" t="n">
        <v>73</v>
      </c>
    </row>
    <row r="531">
      <c r="A531" t="inlineStr">
        <is>
          <t>WA</t>
        </is>
      </c>
      <c r="B531" t="n">
        <v>2023</v>
      </c>
      <c r="C531" s="21" t="n">
        <v>1555950</v>
      </c>
      <c r="D531" s="22" t="n">
        <v>6.454532231</v>
      </c>
      <c r="E531" s="15" t="n">
        <v>9433.18</v>
      </c>
      <c r="F531" s="23" t="n">
        <v>0.2396</v>
      </c>
      <c r="G531" s="23" t="n">
        <v>0.2495</v>
      </c>
      <c r="H531" s="23" t="n">
        <v>0.08550000000000001</v>
      </c>
      <c r="I531" s="23" t="n">
        <v>0.0667</v>
      </c>
      <c r="J531" s="23" t="n">
        <v>0.0427</v>
      </c>
      <c r="K531" s="23" t="n">
        <v>0.0334</v>
      </c>
      <c r="L531" s="23" t="n">
        <v>0.0433</v>
      </c>
      <c r="M531" s="23" t="n">
        <v>0.0307</v>
      </c>
      <c r="N531" s="21" t="n">
        <v>167.0065</v>
      </c>
      <c r="O531" s="21" t="n">
        <v>554.0054</v>
      </c>
      <c r="P531" s="23" t="n">
        <v>0.1526</v>
      </c>
      <c r="Q531" s="23" t="n">
        <v>0.1366</v>
      </c>
      <c r="R531" s="24" t="n">
        <v>73</v>
      </c>
    </row>
    <row r="532">
      <c r="A532" s="25" t="inlineStr">
        <is>
          <t>WA</t>
        </is>
      </c>
      <c r="B532" s="25" t="n">
        <v>2024</v>
      </c>
      <c r="C532" s="26" t="n">
        <v>1589604</v>
      </c>
      <c r="D532" s="27" t="n">
        <v>6.472435041</v>
      </c>
      <c r="E532" s="28" t="n">
        <v>10036.56</v>
      </c>
      <c r="F532" s="29" t="n">
        <v>0.2364</v>
      </c>
      <c r="G532" s="29" t="n">
        <v>0.2523</v>
      </c>
      <c r="H532" s="29" t="n">
        <v>0.0834</v>
      </c>
      <c r="I532" s="29" t="n">
        <v>0.0689</v>
      </c>
      <c r="J532" s="29" t="n">
        <v>0.0464</v>
      </c>
      <c r="K532" s="29" t="n">
        <v>0.0319</v>
      </c>
      <c r="L532" s="29" t="n">
        <v>0.0408</v>
      </c>
      <c r="M532" s="29" t="n">
        <v>0.0304</v>
      </c>
      <c r="N532" s="26" t="n">
        <v>174.1021</v>
      </c>
      <c r="O532" s="26" t="n">
        <v>571.3692</v>
      </c>
      <c r="P532" s="29" t="n">
        <v>0.157</v>
      </c>
      <c r="Q532" s="29" t="n">
        <v>0.1208</v>
      </c>
      <c r="R532" s="30" t="n">
        <v>74</v>
      </c>
    </row>
    <row r="533">
      <c r="A533" t="inlineStr">
        <is>
          <t>WI</t>
        </is>
      </c>
      <c r="B533" t="n">
        <v>2014</v>
      </c>
      <c r="C533" s="21" t="n">
        <v>1075232</v>
      </c>
      <c r="D533" s="22" t="n">
        <v>4.873796391</v>
      </c>
      <c r="E533" s="15" t="n">
        <v>7950.25</v>
      </c>
      <c r="F533" s="23" t="n">
        <v>0.2979</v>
      </c>
      <c r="G533" s="23" t="n">
        <v>0.2004</v>
      </c>
      <c r="H533" s="23" t="n">
        <v>0.0906</v>
      </c>
      <c r="I533" s="23" t="n">
        <v>0.0984</v>
      </c>
      <c r="J533" s="23" t="n">
        <v>0.023</v>
      </c>
      <c r="K533" s="23" t="n">
        <v>0.0277</v>
      </c>
      <c r="L533" s="23" t="n">
        <v>0.048</v>
      </c>
      <c r="M533" s="23" t="n">
        <v>0.0438</v>
      </c>
      <c r="N533" s="21" t="n">
        <v>256.2635</v>
      </c>
      <c r="O533" s="21" t="n">
        <v>645.0948</v>
      </c>
      <c r="P533" s="23" t="n">
        <v>0.1644</v>
      </c>
      <c r="Q533" s="23" t="n">
        <v>0.2157</v>
      </c>
      <c r="R533" s="24" t="n">
        <v>71</v>
      </c>
    </row>
    <row r="534">
      <c r="A534" s="25" t="inlineStr">
        <is>
          <t>WI</t>
        </is>
      </c>
      <c r="B534" s="25" t="n">
        <v>2015</v>
      </c>
      <c r="C534" s="26" t="n">
        <v>1103412</v>
      </c>
      <c r="D534" s="27" t="n">
        <v>4.954385693</v>
      </c>
      <c r="E534" s="28" t="n">
        <v>8238.42</v>
      </c>
      <c r="F534" s="29" t="n">
        <v>0.2903</v>
      </c>
      <c r="G534" s="29" t="n">
        <v>0.2093</v>
      </c>
      <c r="H534" s="29" t="n">
        <v>0.08890000000000001</v>
      </c>
      <c r="I534" s="29" t="n">
        <v>0.09429999999999999</v>
      </c>
      <c r="J534" s="29" t="n">
        <v>0.0245</v>
      </c>
      <c r="K534" s="29" t="n">
        <v>0.0283</v>
      </c>
      <c r="L534" s="29" t="n">
        <v>0.0465</v>
      </c>
      <c r="M534" s="29" t="n">
        <v>0.0434</v>
      </c>
      <c r="N534" s="26" t="n">
        <v>252.3164</v>
      </c>
      <c r="O534" s="26" t="n">
        <v>672.7921</v>
      </c>
      <c r="P534" s="29" t="n">
        <v>0.1623</v>
      </c>
      <c r="Q534" s="29" t="n">
        <v>0.2162</v>
      </c>
      <c r="R534" s="30" t="n">
        <v>71</v>
      </c>
    </row>
    <row r="535">
      <c r="A535" t="inlineStr">
        <is>
          <t>WI</t>
        </is>
      </c>
      <c r="B535" t="n">
        <v>2016</v>
      </c>
      <c r="C535" s="21" t="n">
        <v>1133665</v>
      </c>
      <c r="D535" s="22" t="n">
        <v>4.998849336</v>
      </c>
      <c r="E535" s="15" t="n">
        <v>8247.74</v>
      </c>
      <c r="F535" s="23" t="n">
        <v>0.2903</v>
      </c>
      <c r="G535" s="23" t="n">
        <v>0.2228</v>
      </c>
      <c r="H535" s="23" t="n">
        <v>0.0867</v>
      </c>
      <c r="I535" s="23" t="n">
        <v>0.0872</v>
      </c>
      <c r="J535" s="23" t="n">
        <v>0.0205</v>
      </c>
      <c r="K535" s="23" t="n">
        <v>0.029</v>
      </c>
      <c r="L535" s="23" t="n">
        <v>0.0462</v>
      </c>
      <c r="M535" s="23" t="n">
        <v>0.0431</v>
      </c>
      <c r="N535" s="21" t="n">
        <v>244.1234</v>
      </c>
      <c r="O535" s="21" t="n">
        <v>676.4227</v>
      </c>
      <c r="P535" s="23" t="n">
        <v>0.1643</v>
      </c>
      <c r="Q535" s="23" t="n">
        <v>0.2119</v>
      </c>
      <c r="R535" s="24" t="n">
        <v>71</v>
      </c>
    </row>
    <row r="536">
      <c r="A536" s="25" t="inlineStr">
        <is>
          <t>WI</t>
        </is>
      </c>
      <c r="B536" s="25" t="n">
        <v>2017</v>
      </c>
      <c r="C536" s="26" t="n">
        <v>1162224</v>
      </c>
      <c r="D536" s="27" t="n">
        <v>5.108943943</v>
      </c>
      <c r="E536" s="28" t="n">
        <v>8416.52</v>
      </c>
      <c r="F536" s="29" t="n">
        <v>0.2875</v>
      </c>
      <c r="G536" s="29" t="n">
        <v>0.2355</v>
      </c>
      <c r="H536" s="29" t="n">
        <v>0.08459999999999999</v>
      </c>
      <c r="I536" s="29" t="n">
        <v>0.0834</v>
      </c>
      <c r="J536" s="29" t="n">
        <v>0.0194</v>
      </c>
      <c r="K536" s="29" t="n">
        <v>0.0287</v>
      </c>
      <c r="L536" s="29" t="n">
        <v>0.0452</v>
      </c>
      <c r="M536" s="29" t="n">
        <v>0.0437</v>
      </c>
      <c r="N536" s="26" t="n">
        <v>242.7226</v>
      </c>
      <c r="O536" s="26" t="n">
        <v>679.1886</v>
      </c>
      <c r="P536" s="29" t="n">
        <v>0.1629</v>
      </c>
      <c r="Q536" s="29" t="n">
        <v>0.2069</v>
      </c>
      <c r="R536" s="30" t="n">
        <v>71</v>
      </c>
    </row>
    <row r="537">
      <c r="A537" t="inlineStr">
        <is>
          <t>WI</t>
        </is>
      </c>
      <c r="B537" t="n">
        <v>2018</v>
      </c>
      <c r="C537" s="21" t="n">
        <v>1198101</v>
      </c>
      <c r="D537" s="22" t="n">
        <v>5.335044118</v>
      </c>
      <c r="E537" s="15" t="n">
        <v>8769.85</v>
      </c>
      <c r="F537" s="23" t="n">
        <v>0.2768</v>
      </c>
      <c r="G537" s="23" t="n">
        <v>0.2561</v>
      </c>
      <c r="H537" s="23" t="n">
        <v>0.0822</v>
      </c>
      <c r="I537" s="23" t="n">
        <v>0.0781</v>
      </c>
      <c r="J537" s="23" t="n">
        <v>0.0204</v>
      </c>
      <c r="K537" s="23" t="n">
        <v>0.0286</v>
      </c>
      <c r="L537" s="23" t="n">
        <v>0.0439</v>
      </c>
      <c r="M537" s="23" t="n">
        <v>0.0432</v>
      </c>
      <c r="N537" s="21" t="n">
        <v>236.8696</v>
      </c>
      <c r="O537" s="21" t="n">
        <v>665.1242</v>
      </c>
      <c r="P537" s="23" t="n">
        <v>0.1657</v>
      </c>
      <c r="Q537" s="23" t="n">
        <v>0.1991</v>
      </c>
      <c r="R537" s="24" t="n">
        <v>71</v>
      </c>
    </row>
    <row r="538">
      <c r="A538" s="25" t="inlineStr">
        <is>
          <t>WI</t>
        </is>
      </c>
      <c r="B538" s="25" t="n">
        <v>2019</v>
      </c>
      <c r="C538" s="26" t="n">
        <v>1228636</v>
      </c>
      <c r="D538" s="27" t="n">
        <v>5.35089115</v>
      </c>
      <c r="E538" s="28" t="n">
        <v>8978.34</v>
      </c>
      <c r="F538" s="29" t="n">
        <v>0.2735</v>
      </c>
      <c r="G538" s="29" t="n">
        <v>0.2637</v>
      </c>
      <c r="H538" s="29" t="n">
        <v>0.08069999999999999</v>
      </c>
      <c r="I538" s="29" t="n">
        <v>0.07630000000000001</v>
      </c>
      <c r="J538" s="29" t="n">
        <v>0.0207</v>
      </c>
      <c r="K538" s="29" t="n">
        <v>0.028</v>
      </c>
      <c r="L538" s="29" t="n">
        <v>0.0436</v>
      </c>
      <c r="M538" s="29" t="n">
        <v>0.0449</v>
      </c>
      <c r="N538" s="26" t="n">
        <v>229.1024</v>
      </c>
      <c r="O538" s="26" t="n">
        <v>662.1603</v>
      </c>
      <c r="P538" s="29" t="n">
        <v>0.1627</v>
      </c>
      <c r="Q538" s="29" t="n">
        <v>0.1951</v>
      </c>
      <c r="R538" s="30" t="n">
        <v>71</v>
      </c>
    </row>
    <row r="539">
      <c r="A539" t="inlineStr">
        <is>
          <t>WI</t>
        </is>
      </c>
      <c r="B539" t="n">
        <v>2020</v>
      </c>
      <c r="C539" s="21" t="n">
        <v>1257754</v>
      </c>
      <c r="D539" s="22" t="n">
        <v>5.015911631</v>
      </c>
      <c r="E539" s="15" t="n">
        <v>8657.049999999999</v>
      </c>
      <c r="F539" s="23" t="n">
        <v>0.2696</v>
      </c>
      <c r="G539" s="23" t="n">
        <v>0.2633</v>
      </c>
      <c r="H539" s="23" t="n">
        <v>0.0752</v>
      </c>
      <c r="I539" s="23" t="n">
        <v>0.0834</v>
      </c>
      <c r="J539" s="23" t="n">
        <v>0.023</v>
      </c>
      <c r="K539" s="23" t="n">
        <v>0.029</v>
      </c>
      <c r="L539" s="23" t="n">
        <v>0.0387</v>
      </c>
      <c r="M539" s="23" t="n">
        <v>0.0493</v>
      </c>
      <c r="N539" s="21" t="n">
        <v>201.8995</v>
      </c>
      <c r="O539" s="21" t="n">
        <v>566.5842</v>
      </c>
      <c r="P539" s="23" t="n">
        <v>0.1677</v>
      </c>
      <c r="Q539" s="23" t="n">
        <v>0.1911</v>
      </c>
      <c r="R539" s="24" t="n">
        <v>71</v>
      </c>
    </row>
    <row r="540">
      <c r="A540" s="25" t="inlineStr">
        <is>
          <t>WI</t>
        </is>
      </c>
      <c r="B540" s="25" t="n">
        <v>2021</v>
      </c>
      <c r="C540" s="26" t="n">
        <v>1283246</v>
      </c>
      <c r="D540" s="27" t="n">
        <v>5.255507463</v>
      </c>
      <c r="E540" s="28" t="n">
        <v>9455.82</v>
      </c>
      <c r="F540" s="29" t="n">
        <v>0.2535</v>
      </c>
      <c r="G540" s="29" t="n">
        <v>0.2856</v>
      </c>
      <c r="H540" s="29" t="n">
        <v>0.08260000000000001</v>
      </c>
      <c r="I540" s="29" t="n">
        <v>0.0752</v>
      </c>
      <c r="J540" s="29" t="n">
        <v>0.0227</v>
      </c>
      <c r="K540" s="29" t="n">
        <v>0.0282</v>
      </c>
      <c r="L540" s="29" t="n">
        <v>0.0388</v>
      </c>
      <c r="M540" s="29" t="n">
        <v>0.0463</v>
      </c>
      <c r="N540" s="26" t="n">
        <v>196.457</v>
      </c>
      <c r="O540" s="26" t="n">
        <v>603.8887999999999</v>
      </c>
      <c r="P540" s="29" t="n">
        <v>0.1672</v>
      </c>
      <c r="Q540" s="29" t="n">
        <v>0.1871</v>
      </c>
      <c r="R540" s="30" t="n">
        <v>71</v>
      </c>
    </row>
    <row r="541">
      <c r="A541" t="inlineStr">
        <is>
          <t>WI</t>
        </is>
      </c>
      <c r="B541" t="n">
        <v>2022</v>
      </c>
      <c r="C541" s="21" t="n">
        <v>1312254</v>
      </c>
      <c r="D541" s="22" t="n">
        <v>5.148129614</v>
      </c>
      <c r="E541" s="15" t="n">
        <v>9699.93</v>
      </c>
      <c r="F541" s="23" t="n">
        <v>0.2521</v>
      </c>
      <c r="G541" s="23" t="n">
        <v>0.2913</v>
      </c>
      <c r="H541" s="23" t="n">
        <v>0.0798</v>
      </c>
      <c r="I541" s="23" t="n">
        <v>0.07199999999999999</v>
      </c>
      <c r="J541" s="23" t="n">
        <v>0.0246</v>
      </c>
      <c r="K541" s="23" t="n">
        <v>0.0281</v>
      </c>
      <c r="L541" s="23" t="n">
        <v>0.0382</v>
      </c>
      <c r="M541" s="23" t="n">
        <v>0.0471</v>
      </c>
      <c r="N541" s="21" t="n">
        <v>196.4035</v>
      </c>
      <c r="O541" s="21" t="n">
        <v>624.1053000000001</v>
      </c>
      <c r="P541" s="23" t="n">
        <v>0.1686</v>
      </c>
      <c r="Q541" s="23" t="n">
        <v>0.1827</v>
      </c>
      <c r="R541" s="24" t="n">
        <v>72</v>
      </c>
    </row>
    <row r="542">
      <c r="A542" s="25" t="inlineStr">
        <is>
          <t>WI</t>
        </is>
      </c>
      <c r="B542" s="25" t="n">
        <v>2023</v>
      </c>
      <c r="C542" s="26" t="n">
        <v>1341157</v>
      </c>
      <c r="D542" s="27" t="n">
        <v>5.271652366</v>
      </c>
      <c r="E542" s="28" t="n">
        <v>10415.44</v>
      </c>
      <c r="F542" s="29" t="n">
        <v>0.2378</v>
      </c>
      <c r="G542" s="29" t="n">
        <v>0.2937</v>
      </c>
      <c r="H542" s="29" t="n">
        <v>0.0757</v>
      </c>
      <c r="I542" s="29" t="n">
        <v>0.0638</v>
      </c>
      <c r="J542" s="29" t="n">
        <v>0.0485</v>
      </c>
      <c r="K542" s="29" t="n">
        <v>0.026</v>
      </c>
      <c r="L542" s="29" t="n">
        <v>0.0364</v>
      </c>
      <c r="M542" s="29" t="n">
        <v>0.0476</v>
      </c>
      <c r="N542" s="26" t="n">
        <v>199.1117</v>
      </c>
      <c r="O542" s="26" t="n">
        <v>633.6888</v>
      </c>
      <c r="P542" s="29" t="n">
        <v>0.1695</v>
      </c>
      <c r="Q542" s="29" t="n">
        <v>0.1699</v>
      </c>
      <c r="R542" s="30" t="n">
        <v>72</v>
      </c>
    </row>
    <row r="543">
      <c r="A543" t="inlineStr">
        <is>
          <t>WI</t>
        </is>
      </c>
      <c r="B543" t="n">
        <v>2024</v>
      </c>
      <c r="C543" s="21" t="n">
        <v>1374892</v>
      </c>
      <c r="D543" s="22" t="n">
        <v>5.30989777</v>
      </c>
      <c r="E543" s="15" t="n">
        <v>10799.32</v>
      </c>
      <c r="F543" s="23" t="n">
        <v>0.2354</v>
      </c>
      <c r="G543" s="23" t="n">
        <v>0.3049</v>
      </c>
      <c r="H543" s="23" t="n">
        <v>0.0755</v>
      </c>
      <c r="I543" s="23" t="n">
        <v>0.062</v>
      </c>
      <c r="J543" s="23" t="n">
        <v>0.0349</v>
      </c>
      <c r="K543" s="23" t="n">
        <v>0.0255</v>
      </c>
      <c r="L543" s="23" t="n">
        <v>0.0355</v>
      </c>
      <c r="M543" s="23" t="n">
        <v>0.0487</v>
      </c>
      <c r="N543" s="21" t="n">
        <v>199.7893</v>
      </c>
      <c r="O543" s="21" t="n">
        <v>637.0727000000001</v>
      </c>
      <c r="P543" s="23" t="n">
        <v>0.1689</v>
      </c>
      <c r="Q543" s="23" t="n">
        <v>0.1503</v>
      </c>
      <c r="R543" s="24" t="n">
        <v>72</v>
      </c>
    </row>
    <row r="544">
      <c r="A544" s="25" t="inlineStr">
        <is>
          <t>WV</t>
        </is>
      </c>
      <c r="B544" s="25" t="n">
        <v>2014</v>
      </c>
      <c r="C544" s="26" t="n">
        <v>430942</v>
      </c>
      <c r="D544" s="27" t="n">
        <v>2.466884575</v>
      </c>
      <c r="E544" s="28" t="n">
        <v>8528.559999999999</v>
      </c>
      <c r="F544" s="29" t="n">
        <v>0.3192</v>
      </c>
      <c r="G544" s="29" t="n">
        <v>0.1726</v>
      </c>
      <c r="H544" s="29" t="n">
        <v>0.0925</v>
      </c>
      <c r="I544" s="29" t="n">
        <v>0.07480000000000001</v>
      </c>
      <c r="J544" s="29" t="n">
        <v>0.0285</v>
      </c>
      <c r="K544" s="29" t="n">
        <v>0.0455</v>
      </c>
      <c r="L544" s="29" t="n">
        <v>0.0432</v>
      </c>
      <c r="M544" s="29" t="n">
        <v>0.0296</v>
      </c>
      <c r="N544" s="26" t="n">
        <v>298.3751</v>
      </c>
      <c r="O544" s="26" t="n">
        <v>808.1729</v>
      </c>
      <c r="P544" s="29" t="n">
        <v>0.1911</v>
      </c>
      <c r="Q544" s="29" t="n">
        <v>0.2776</v>
      </c>
      <c r="R544" s="30" t="n">
        <v>69</v>
      </c>
    </row>
    <row r="545">
      <c r="A545" t="inlineStr">
        <is>
          <t>WV</t>
        </is>
      </c>
      <c r="B545" t="n">
        <v>2015</v>
      </c>
      <c r="C545" s="21" t="n">
        <v>436477</v>
      </c>
      <c r="D545" s="22" t="n">
        <v>2.604074513</v>
      </c>
      <c r="E545" s="15" t="n">
        <v>8916.66</v>
      </c>
      <c r="F545" s="23" t="n">
        <v>0.3116</v>
      </c>
      <c r="G545" s="23" t="n">
        <v>0.1801</v>
      </c>
      <c r="H545" s="23" t="n">
        <v>0.0926</v>
      </c>
      <c r="I545" s="23" t="n">
        <v>0.0728</v>
      </c>
      <c r="J545" s="23" t="n">
        <v>0.0293</v>
      </c>
      <c r="K545" s="23" t="n">
        <v>0.0467</v>
      </c>
      <c r="L545" s="23" t="n">
        <v>0.0426</v>
      </c>
      <c r="M545" s="23" t="n">
        <v>0.0284</v>
      </c>
      <c r="N545" s="21" t="n">
        <v>302.5756</v>
      </c>
      <c r="O545" s="21" t="n">
        <v>840.3471</v>
      </c>
      <c r="P545" s="23" t="n">
        <v>0.1933</v>
      </c>
      <c r="Q545" s="23" t="n">
        <v>0.2774</v>
      </c>
      <c r="R545" s="24" t="n">
        <v>69</v>
      </c>
    </row>
    <row r="546">
      <c r="A546" s="25" t="inlineStr">
        <is>
          <t>WV</t>
        </is>
      </c>
      <c r="B546" s="25" t="n">
        <v>2016</v>
      </c>
      <c r="C546" s="26" t="n">
        <v>441957</v>
      </c>
      <c r="D546" s="27" t="n">
        <v>2.650514368</v>
      </c>
      <c r="E546" s="28" t="n">
        <v>9070.549999999999</v>
      </c>
      <c r="F546" s="29" t="n">
        <v>0.3116</v>
      </c>
      <c r="G546" s="29" t="n">
        <v>0.1908</v>
      </c>
      <c r="H546" s="29" t="n">
        <v>0.0886</v>
      </c>
      <c r="I546" s="29" t="n">
        <v>0.0706</v>
      </c>
      <c r="J546" s="29" t="n">
        <v>0.0233</v>
      </c>
      <c r="K546" s="29" t="n">
        <v>0.0495</v>
      </c>
      <c r="L546" s="29" t="n">
        <v>0.0421</v>
      </c>
      <c r="M546" s="29" t="n">
        <v>0.029</v>
      </c>
      <c r="N546" s="26" t="n">
        <v>292.566</v>
      </c>
      <c r="O546" s="26" t="n">
        <v>828.8805</v>
      </c>
      <c r="P546" s="29" t="n">
        <v>0.19</v>
      </c>
      <c r="Q546" s="29" t="n">
        <v>0.2735</v>
      </c>
      <c r="R546" s="30" t="n">
        <v>69</v>
      </c>
    </row>
    <row r="547">
      <c r="A547" t="inlineStr">
        <is>
          <t>WV</t>
        </is>
      </c>
      <c r="B547" t="n">
        <v>2017</v>
      </c>
      <c r="C547" s="21" t="n">
        <v>447065</v>
      </c>
      <c r="D547" s="22" t="n">
        <v>2.665157669</v>
      </c>
      <c r="E547" s="15" t="n">
        <v>9412.1</v>
      </c>
      <c r="F547" s="23" t="n">
        <v>0.3102</v>
      </c>
      <c r="G547" s="23" t="n">
        <v>0.1992</v>
      </c>
      <c r="H547" s="23" t="n">
        <v>0.0857</v>
      </c>
      <c r="I547" s="23" t="n">
        <v>0.0683</v>
      </c>
      <c r="J547" s="23" t="n">
        <v>0.0212</v>
      </c>
      <c r="K547" s="23" t="n">
        <v>0.0515</v>
      </c>
      <c r="L547" s="23" t="n">
        <v>0.0407</v>
      </c>
      <c r="M547" s="23" t="n">
        <v>0.0299</v>
      </c>
      <c r="N547" s="21" t="n">
        <v>296.9809</v>
      </c>
      <c r="O547" s="21" t="n">
        <v>835.6247</v>
      </c>
      <c r="P547" s="23" t="n">
        <v>0.1934</v>
      </c>
      <c r="Q547" s="23" t="n">
        <v>0.2757</v>
      </c>
      <c r="R547" s="24" t="n">
        <v>70</v>
      </c>
    </row>
    <row r="548">
      <c r="A548" s="25" t="inlineStr">
        <is>
          <t>WV</t>
        </is>
      </c>
      <c r="B548" s="25" t="n">
        <v>2018</v>
      </c>
      <c r="C548" s="26" t="n">
        <v>454362</v>
      </c>
      <c r="D548" s="27" t="n">
        <v>2.730016137</v>
      </c>
      <c r="E548" s="28" t="n">
        <v>9862.35</v>
      </c>
      <c r="F548" s="29" t="n">
        <v>0.3042</v>
      </c>
      <c r="G548" s="29" t="n">
        <v>0.2076</v>
      </c>
      <c r="H548" s="29" t="n">
        <v>0.0837</v>
      </c>
      <c r="I548" s="29" t="n">
        <v>0.0663</v>
      </c>
      <c r="J548" s="29" t="n">
        <v>0.0241</v>
      </c>
      <c r="K548" s="29" t="n">
        <v>0.0501</v>
      </c>
      <c r="L548" s="29" t="n">
        <v>0.0392</v>
      </c>
      <c r="M548" s="29" t="n">
        <v>0.0296</v>
      </c>
      <c r="N548" s="26" t="n">
        <v>294.9511</v>
      </c>
      <c r="O548" s="26" t="n">
        <v>825.9758</v>
      </c>
      <c r="P548" s="29" t="n">
        <v>0.1966</v>
      </c>
      <c r="Q548" s="29" t="n">
        <v>0.274</v>
      </c>
      <c r="R548" s="30" t="n">
        <v>70</v>
      </c>
    </row>
    <row r="549">
      <c r="A549" t="inlineStr">
        <is>
          <t>WV</t>
        </is>
      </c>
      <c r="B549" t="n">
        <v>2019</v>
      </c>
      <c r="C549" s="21" t="n">
        <v>458970</v>
      </c>
      <c r="D549" s="22" t="n">
        <v>2.711929648</v>
      </c>
      <c r="E549" s="15" t="n">
        <v>10220.43</v>
      </c>
      <c r="F549" s="23" t="n">
        <v>0.2996</v>
      </c>
      <c r="G549" s="23" t="n">
        <v>0.2108</v>
      </c>
      <c r="H549" s="23" t="n">
        <v>0.0822</v>
      </c>
      <c r="I549" s="23" t="n">
        <v>0.0664</v>
      </c>
      <c r="J549" s="23" t="n">
        <v>0.0239</v>
      </c>
      <c r="K549" s="23" t="n">
        <v>0.0492</v>
      </c>
      <c r="L549" s="23" t="n">
        <v>0.039</v>
      </c>
      <c r="M549" s="23" t="n">
        <v>0.0301</v>
      </c>
      <c r="N549" s="21" t="n">
        <v>292.8651</v>
      </c>
      <c r="O549" s="21" t="n">
        <v>810.4574</v>
      </c>
      <c r="P549" s="23" t="n">
        <v>0.2019</v>
      </c>
      <c r="Q549" s="23" t="n">
        <v>0.2582</v>
      </c>
      <c r="R549" s="24" t="n">
        <v>70</v>
      </c>
    </row>
    <row r="550">
      <c r="A550" s="25" t="inlineStr">
        <is>
          <t>WV</t>
        </is>
      </c>
      <c r="B550" s="25" t="n">
        <v>2020</v>
      </c>
      <c r="C550" s="26" t="n">
        <v>462580</v>
      </c>
      <c r="D550" s="27" t="n">
        <v>2.391925546</v>
      </c>
      <c r="E550" s="28" t="n">
        <v>9545.98</v>
      </c>
      <c r="F550" s="29" t="n">
        <v>0.2912</v>
      </c>
      <c r="G550" s="29" t="n">
        <v>0.2121</v>
      </c>
      <c r="H550" s="29" t="n">
        <v>0.0789</v>
      </c>
      <c r="I550" s="29" t="n">
        <v>0.0707</v>
      </c>
      <c r="J550" s="29" t="n">
        <v>0.0278</v>
      </c>
      <c r="K550" s="29" t="n">
        <v>0.0497</v>
      </c>
      <c r="L550" s="29" t="n">
        <v>0.0358</v>
      </c>
      <c r="M550" s="29" t="n">
        <v>0.0333</v>
      </c>
      <c r="N550" s="26" t="n">
        <v>245.6569</v>
      </c>
      <c r="O550" s="26" t="n">
        <v>634.452</v>
      </c>
      <c r="P550" s="29" t="n">
        <v>0.198</v>
      </c>
      <c r="Q550" s="29" t="n">
        <v>0.2393</v>
      </c>
      <c r="R550" s="30" t="n">
        <v>70</v>
      </c>
    </row>
    <row r="551">
      <c r="A551" t="inlineStr">
        <is>
          <t>WV</t>
        </is>
      </c>
      <c r="B551" t="n">
        <v>2021</v>
      </c>
      <c r="C551" s="21" t="n">
        <v>465473</v>
      </c>
      <c r="D551" s="22" t="n">
        <v>2.351559509</v>
      </c>
      <c r="E551" s="15" t="n">
        <v>10266.35</v>
      </c>
      <c r="F551" s="23" t="n">
        <v>0.2843</v>
      </c>
      <c r="G551" s="23" t="n">
        <v>0.2263</v>
      </c>
      <c r="H551" s="23" t="n">
        <v>0.0858</v>
      </c>
      <c r="I551" s="23" t="n">
        <v>0.0672</v>
      </c>
      <c r="J551" s="23" t="n">
        <v>0.0266</v>
      </c>
      <c r="K551" s="23" t="n">
        <v>0.0462</v>
      </c>
      <c r="L551" s="23" t="n">
        <v>0.036</v>
      </c>
      <c r="M551" s="23" t="n">
        <v>0.0307</v>
      </c>
      <c r="N551" s="21" t="n">
        <v>241.9594</v>
      </c>
      <c r="O551" s="21" t="n">
        <v>659.8022</v>
      </c>
      <c r="P551" s="23" t="n">
        <v>0.1963</v>
      </c>
      <c r="Q551" s="23" t="n">
        <v>0.2261</v>
      </c>
      <c r="R551" s="24" t="n">
        <v>71</v>
      </c>
    </row>
    <row r="552">
      <c r="A552" s="25" t="inlineStr">
        <is>
          <t>WV</t>
        </is>
      </c>
      <c r="B552" s="25" t="n">
        <v>2022</v>
      </c>
      <c r="C552" s="26" t="n">
        <v>466247</v>
      </c>
      <c r="D552" s="27" t="n">
        <v>2.249577811</v>
      </c>
      <c r="E552" s="28" t="n">
        <v>10649.39</v>
      </c>
      <c r="F552" s="29" t="n">
        <v>0.2739</v>
      </c>
      <c r="G552" s="29" t="n">
        <v>0.233</v>
      </c>
      <c r="H552" s="29" t="n">
        <v>0.08169999999999999</v>
      </c>
      <c r="I552" s="29" t="n">
        <v>0.0751</v>
      </c>
      <c r="J552" s="29" t="n">
        <v>0.0302</v>
      </c>
      <c r="K552" s="29" t="n">
        <v>0.0436</v>
      </c>
      <c r="L552" s="29" t="n">
        <v>0.035</v>
      </c>
      <c r="M552" s="29" t="n">
        <v>0.0305</v>
      </c>
      <c r="N552" s="26" t="n">
        <v>244.9205</v>
      </c>
      <c r="O552" s="26" t="n">
        <v>678.5126</v>
      </c>
      <c r="P552" s="29" t="n">
        <v>0.1926</v>
      </c>
      <c r="Q552" s="29" t="n">
        <v>0.2151</v>
      </c>
      <c r="R552" s="30" t="n">
        <v>71</v>
      </c>
    </row>
    <row r="553">
      <c r="A553" t="inlineStr">
        <is>
          <t>WV</t>
        </is>
      </c>
      <c r="B553" t="n">
        <v>2023</v>
      </c>
      <c r="C553" s="21" t="n">
        <v>468728</v>
      </c>
      <c r="D553" s="22" t="n">
        <v>2.177536633</v>
      </c>
      <c r="E553" s="15" t="n">
        <v>11334.02</v>
      </c>
      <c r="F553" s="23" t="n">
        <v>0.2663</v>
      </c>
      <c r="G553" s="23" t="n">
        <v>0.2397</v>
      </c>
      <c r="H553" s="23" t="n">
        <v>0.0793</v>
      </c>
      <c r="I553" s="23" t="n">
        <v>0.0653</v>
      </c>
      <c r="J553" s="23" t="n">
        <v>0.0412</v>
      </c>
      <c r="K553" s="23" t="n">
        <v>0.0396</v>
      </c>
      <c r="L553" s="23" t="n">
        <v>0.0337</v>
      </c>
      <c r="M553" s="23" t="n">
        <v>0.0312</v>
      </c>
      <c r="N553" s="21" t="n">
        <v>248.8705</v>
      </c>
      <c r="O553" s="21" t="n">
        <v>683.1421</v>
      </c>
      <c r="P553" s="23" t="n">
        <v>0.1961</v>
      </c>
      <c r="Q553" s="23" t="n">
        <v>0.1999</v>
      </c>
      <c r="R553" s="24" t="n">
        <v>72</v>
      </c>
    </row>
    <row r="554">
      <c r="A554" s="25" t="inlineStr">
        <is>
          <t>WV</t>
        </is>
      </c>
      <c r="B554" s="25" t="n">
        <v>2024</v>
      </c>
      <c r="C554" s="26" t="n">
        <v>473317</v>
      </c>
      <c r="D554" s="27" t="n">
        <v>2.175940776</v>
      </c>
      <c r="E554" s="28" t="n">
        <v>11982.38</v>
      </c>
      <c r="F554" s="29" t="n">
        <v>0.2636</v>
      </c>
      <c r="G554" s="29" t="n">
        <v>0.2483</v>
      </c>
      <c r="H554" s="29" t="n">
        <v>0.0757</v>
      </c>
      <c r="I554" s="29" t="n">
        <v>0.0638</v>
      </c>
      <c r="J554" s="29" t="n">
        <v>0.0457</v>
      </c>
      <c r="K554" s="29" t="n">
        <v>0.0369</v>
      </c>
      <c r="L554" s="29" t="n">
        <v>0.0321</v>
      </c>
      <c r="M554" s="29" t="n">
        <v>0.0322</v>
      </c>
      <c r="N554" s="26" t="n">
        <v>254.3462</v>
      </c>
      <c r="O554" s="26" t="n">
        <v>688.4826</v>
      </c>
      <c r="P554" s="29" t="n">
        <v>0.1993</v>
      </c>
      <c r="Q554" s="29" t="n">
        <v>0.1763</v>
      </c>
      <c r="R554" s="30" t="n">
        <v>72</v>
      </c>
    </row>
    <row r="555">
      <c r="A555" t="inlineStr">
        <is>
          <t>WY</t>
        </is>
      </c>
      <c r="B555" t="n">
        <v>2014</v>
      </c>
      <c r="C555" s="21" t="n">
        <v>96812</v>
      </c>
      <c r="D555" s="22" t="n">
        <v>0.6029921620000001</v>
      </c>
      <c r="E555" s="15" t="n">
        <v>7152.17</v>
      </c>
      <c r="F555" s="23" t="n">
        <v>0.3026</v>
      </c>
      <c r="G555" s="23" t="n">
        <v>0.1855</v>
      </c>
      <c r="H555" s="23" t="n">
        <v>0.0851</v>
      </c>
      <c r="I555" s="23" t="n">
        <v>0.0885</v>
      </c>
      <c r="J555" s="23" t="n">
        <v>0.0399</v>
      </c>
      <c r="K555" s="23" t="n">
        <v>0.0269</v>
      </c>
      <c r="L555" s="23" t="n">
        <v>0.0587</v>
      </c>
      <c r="M555" s="23" t="n">
        <v>0.0151</v>
      </c>
      <c r="N555" s="21" t="n">
        <v>223.5823</v>
      </c>
      <c r="O555" s="21" t="n">
        <v>571.9318</v>
      </c>
      <c r="P555" s="23" t="n">
        <v>0.1477</v>
      </c>
      <c r="Q555" s="23" t="n">
        <v>0.1388</v>
      </c>
      <c r="R555" s="24" t="n">
        <v>72</v>
      </c>
    </row>
    <row r="556">
      <c r="A556" s="25" t="inlineStr">
        <is>
          <t>WY</t>
        </is>
      </c>
      <c r="B556" s="25" t="n">
        <v>2015</v>
      </c>
      <c r="C556" s="26" t="n">
        <v>100001</v>
      </c>
      <c r="D556" s="27" t="n">
        <v>0.656803288</v>
      </c>
      <c r="E556" s="28" t="n">
        <v>7565.03</v>
      </c>
      <c r="F556" s="29" t="n">
        <v>0.3039</v>
      </c>
      <c r="G556" s="29" t="n">
        <v>0.1942</v>
      </c>
      <c r="H556" s="29" t="n">
        <v>0.0829</v>
      </c>
      <c r="I556" s="29" t="n">
        <v>0.0822</v>
      </c>
      <c r="J556" s="29" t="n">
        <v>0.0416</v>
      </c>
      <c r="K556" s="29" t="n">
        <v>0.0277</v>
      </c>
      <c r="L556" s="29" t="n">
        <v>0.0561</v>
      </c>
      <c r="M556" s="29" t="n">
        <v>0.0117</v>
      </c>
      <c r="N556" s="26" t="n">
        <v>227.6868</v>
      </c>
      <c r="O556" s="26" t="n">
        <v>598.5993999999999</v>
      </c>
      <c r="P556" s="29" t="n">
        <v>0.1455</v>
      </c>
      <c r="Q556" s="29" t="n">
        <v>0.1353</v>
      </c>
      <c r="R556" s="30" t="n">
        <v>72</v>
      </c>
    </row>
    <row r="557">
      <c r="A557" t="inlineStr">
        <is>
          <t>WY</t>
        </is>
      </c>
      <c r="B557" t="n">
        <v>2016</v>
      </c>
      <c r="C557" s="21" t="n">
        <v>103425</v>
      </c>
      <c r="D557" s="22" t="n">
        <v>0.689204485</v>
      </c>
      <c r="E557" s="15" t="n">
        <v>7680.36</v>
      </c>
      <c r="F557" s="23" t="n">
        <v>0.3055</v>
      </c>
      <c r="G557" s="23" t="n">
        <v>0.2083</v>
      </c>
      <c r="H557" s="23" t="n">
        <v>0.07969999999999999</v>
      </c>
      <c r="I557" s="23" t="n">
        <v>0.0839</v>
      </c>
      <c r="J557" s="23" t="n">
        <v>0.0303</v>
      </c>
      <c r="K557" s="23" t="n">
        <v>0.0258</v>
      </c>
      <c r="L557" s="23" t="n">
        <v>0.0555</v>
      </c>
      <c r="M557" s="23" t="n">
        <v>0.0129</v>
      </c>
      <c r="N557" s="21" t="n">
        <v>222.2631</v>
      </c>
      <c r="O557" s="21" t="n">
        <v>595.3463</v>
      </c>
      <c r="P557" s="23" t="n">
        <v>0.1473</v>
      </c>
      <c r="Q557" s="23" t="n">
        <v>0.13</v>
      </c>
      <c r="R557" s="24" t="n">
        <v>72</v>
      </c>
    </row>
    <row r="558">
      <c r="A558" s="25" t="inlineStr">
        <is>
          <t>WY</t>
        </is>
      </c>
      <c r="B558" s="25" t="n">
        <v>2017</v>
      </c>
      <c r="C558" s="26" t="n">
        <v>107081</v>
      </c>
      <c r="D558" s="27" t="n">
        <v>0.724083636</v>
      </c>
      <c r="E558" s="28" t="n">
        <v>7833.1</v>
      </c>
      <c r="F558" s="29" t="n">
        <v>0.2968</v>
      </c>
      <c r="G558" s="29" t="n">
        <v>0.2204</v>
      </c>
      <c r="H558" s="29" t="n">
        <v>0.0774</v>
      </c>
      <c r="I558" s="29" t="n">
        <v>0.0848</v>
      </c>
      <c r="J558" s="29" t="n">
        <v>0.026</v>
      </c>
      <c r="K558" s="29" t="n">
        <v>0.0265</v>
      </c>
      <c r="L558" s="29" t="n">
        <v>0.0535</v>
      </c>
      <c r="M558" s="29" t="n">
        <v>0.0152</v>
      </c>
      <c r="N558" s="26" t="n">
        <v>219.1391</v>
      </c>
      <c r="O558" s="26" t="n">
        <v>598.7949</v>
      </c>
      <c r="P558" s="29" t="n">
        <v>0.1384</v>
      </c>
      <c r="Q558" s="29" t="n">
        <v>0.1252</v>
      </c>
      <c r="R558" s="30" t="n">
        <v>72</v>
      </c>
    </row>
    <row r="559">
      <c r="A559" t="inlineStr">
        <is>
          <t>WY</t>
        </is>
      </c>
      <c r="B559" t="n">
        <v>2018</v>
      </c>
      <c r="C559" s="21" t="n">
        <v>111731</v>
      </c>
      <c r="D559" s="22" t="n">
        <v>0.789214639</v>
      </c>
      <c r="E559" s="15" t="n">
        <v>8207.65</v>
      </c>
      <c r="F559" s="23" t="n">
        <v>0.2781</v>
      </c>
      <c r="G559" s="23" t="n">
        <v>0.2361</v>
      </c>
      <c r="H559" s="23" t="n">
        <v>0.075</v>
      </c>
      <c r="I559" s="23" t="n">
        <v>0.0866</v>
      </c>
      <c r="J559" s="23" t="n">
        <v>0.0281</v>
      </c>
      <c r="K559" s="23" t="n">
        <v>0.0256</v>
      </c>
      <c r="L559" s="23" t="n">
        <v>0.0525</v>
      </c>
      <c r="M559" s="23" t="n">
        <v>0.0158</v>
      </c>
      <c r="N559" s="21" t="n">
        <v>214.5264</v>
      </c>
      <c r="O559" s="21" t="n">
        <v>597.7162</v>
      </c>
      <c r="P559" s="23" t="n">
        <v>0.1447</v>
      </c>
      <c r="Q559" s="23" t="n">
        <v>0.1239</v>
      </c>
      <c r="R559" s="24" t="n">
        <v>72</v>
      </c>
    </row>
    <row r="560">
      <c r="A560" s="25" t="inlineStr">
        <is>
          <t>WY</t>
        </is>
      </c>
      <c r="B560" s="25" t="n">
        <v>2019</v>
      </c>
      <c r="C560" s="26" t="n">
        <v>115611</v>
      </c>
      <c r="D560" s="27" t="n">
        <v>0.834517896</v>
      </c>
      <c r="E560" s="28" t="n">
        <v>8438.85</v>
      </c>
      <c r="F560" s="29" t="n">
        <v>0.2672</v>
      </c>
      <c r="G560" s="29" t="n">
        <v>0.2477</v>
      </c>
      <c r="H560" s="29" t="n">
        <v>0.0737</v>
      </c>
      <c r="I560" s="29" t="n">
        <v>0.0825</v>
      </c>
      <c r="J560" s="29" t="n">
        <v>0.0279</v>
      </c>
      <c r="K560" s="29" t="n">
        <v>0.024</v>
      </c>
      <c r="L560" s="29" t="n">
        <v>0.0523</v>
      </c>
      <c r="M560" s="29" t="n">
        <v>0.0151</v>
      </c>
      <c r="N560" s="26" t="n">
        <v>207.8876</v>
      </c>
      <c r="O560" s="26" t="n">
        <v>590.9799</v>
      </c>
      <c r="P560" s="29" t="n">
        <v>0.139</v>
      </c>
      <c r="Q560" s="29" t="n">
        <v>0.1195</v>
      </c>
      <c r="R560" s="30" t="n">
        <v>72</v>
      </c>
    </row>
    <row r="561">
      <c r="A561" t="inlineStr">
        <is>
          <t>WY</t>
        </is>
      </c>
      <c r="B561" t="n">
        <v>2020</v>
      </c>
      <c r="C561" s="21" t="n">
        <v>119587</v>
      </c>
      <c r="D561" s="22" t="n">
        <v>0.829662604</v>
      </c>
      <c r="E561" s="15" t="n">
        <v>8129.32</v>
      </c>
      <c r="F561" s="23" t="n">
        <v>0.2576</v>
      </c>
      <c r="G561" s="23" t="n">
        <v>0.2525</v>
      </c>
      <c r="H561" s="23" t="n">
        <v>0.0693</v>
      </c>
      <c r="I561" s="23" t="n">
        <v>0.0856</v>
      </c>
      <c r="J561" s="23" t="n">
        <v>0.0331</v>
      </c>
      <c r="K561" s="23" t="n">
        <v>0.0277</v>
      </c>
      <c r="L561" s="23" t="n">
        <v>0.0479</v>
      </c>
      <c r="M561" s="23" t="n">
        <v>0.0183</v>
      </c>
      <c r="N561" s="21" t="n">
        <v>176.7426</v>
      </c>
      <c r="O561" s="21" t="n">
        <v>498.6772</v>
      </c>
      <c r="P561" s="23" t="n">
        <v>0.1406</v>
      </c>
      <c r="Q561" s="23" t="n">
        <v>0.1129</v>
      </c>
      <c r="R561" s="24" t="n">
        <v>72</v>
      </c>
    </row>
    <row r="562">
      <c r="A562" s="25" t="inlineStr">
        <is>
          <t>WY</t>
        </is>
      </c>
      <c r="B562" s="25" t="n">
        <v>2021</v>
      </c>
      <c r="C562" s="26" t="n">
        <v>123322</v>
      </c>
      <c r="D562" s="27" t="n">
        <v>0.940752801</v>
      </c>
      <c r="E562" s="28" t="n">
        <v>9021.07</v>
      </c>
      <c r="F562" s="29" t="n">
        <v>0.2519</v>
      </c>
      <c r="G562" s="29" t="n">
        <v>0.2605</v>
      </c>
      <c r="H562" s="29" t="n">
        <v>0.07530000000000001</v>
      </c>
      <c r="I562" s="29" t="n">
        <v>0.0767</v>
      </c>
      <c r="J562" s="29" t="n">
        <v>0.0338</v>
      </c>
      <c r="K562" s="29" t="n">
        <v>0.0259</v>
      </c>
      <c r="L562" s="29" t="n">
        <v>0.0466</v>
      </c>
      <c r="M562" s="29" t="n">
        <v>0.0178</v>
      </c>
      <c r="N562" s="26" t="n">
        <v>176.9974</v>
      </c>
      <c r="O562" s="26" t="n">
        <v>532.2388999999999</v>
      </c>
      <c r="P562" s="29" t="n">
        <v>0.1388</v>
      </c>
      <c r="Q562" s="29" t="n">
        <v>0.1169</v>
      </c>
      <c r="R562" s="30" t="n">
        <v>72</v>
      </c>
    </row>
    <row r="563">
      <c r="A563" t="inlineStr">
        <is>
          <t>WY</t>
        </is>
      </c>
      <c r="B563" t="n">
        <v>2022</v>
      </c>
      <c r="C563" s="21" t="n">
        <v>126529</v>
      </c>
      <c r="D563" s="22" t="n">
        <v>0.935957101</v>
      </c>
      <c r="E563" s="15" t="n">
        <v>9032.07</v>
      </c>
      <c r="F563" s="23" t="n">
        <v>0.2378</v>
      </c>
      <c r="G563" s="23" t="n">
        <v>0.2672</v>
      </c>
      <c r="H563" s="23" t="n">
        <v>0.0732</v>
      </c>
      <c r="I563" s="23" t="n">
        <v>0.08119999999999999</v>
      </c>
      <c r="J563" s="23" t="n">
        <v>0.0358</v>
      </c>
      <c r="K563" s="23" t="n">
        <v>0.0252</v>
      </c>
      <c r="L563" s="23" t="n">
        <v>0.0471</v>
      </c>
      <c r="M563" s="23" t="n">
        <v>0.0212</v>
      </c>
      <c r="N563" s="21" t="n">
        <v>170.1407</v>
      </c>
      <c r="O563" s="21" t="n">
        <v>536.1589</v>
      </c>
      <c r="P563" s="23" t="n">
        <v>0.138</v>
      </c>
      <c r="Q563" s="23" t="n">
        <v>0.1134</v>
      </c>
      <c r="R563" s="24" t="n">
        <v>72</v>
      </c>
    </row>
    <row r="564">
      <c r="A564" s="25" t="inlineStr">
        <is>
          <t>WY</t>
        </is>
      </c>
      <c r="B564" s="25" t="n">
        <v>2023</v>
      </c>
      <c r="C564" s="26" t="n">
        <v>129740</v>
      </c>
      <c r="D564" s="27" t="n">
        <v>0.968247911</v>
      </c>
      <c r="E564" s="28" t="n">
        <v>9761.15</v>
      </c>
      <c r="F564" s="29" t="n">
        <v>0.2224</v>
      </c>
      <c r="G564" s="29" t="n">
        <v>0.2741</v>
      </c>
      <c r="H564" s="29" t="n">
        <v>0.0687</v>
      </c>
      <c r="I564" s="29" t="n">
        <v>0.0701</v>
      </c>
      <c r="J564" s="29" t="n">
        <v>0.0644</v>
      </c>
      <c r="K564" s="29" t="n">
        <v>0.0225</v>
      </c>
      <c r="L564" s="29" t="n">
        <v>0.0436</v>
      </c>
      <c r="M564" s="29" t="n">
        <v>0.022</v>
      </c>
      <c r="N564" s="26" t="n">
        <v>167.1573</v>
      </c>
      <c r="O564" s="26" t="n">
        <v>532.1189000000001</v>
      </c>
      <c r="P564" s="29" t="n">
        <v>0.146</v>
      </c>
      <c r="Q564" s="29" t="n">
        <v>0.1019</v>
      </c>
      <c r="R564" s="30" t="n">
        <v>73</v>
      </c>
    </row>
    <row r="565">
      <c r="A565" t="inlineStr">
        <is>
          <t>WY</t>
        </is>
      </c>
      <c r="B565" t="n">
        <v>2024</v>
      </c>
      <c r="C565" s="21" t="n">
        <v>133263</v>
      </c>
      <c r="D565" s="22" t="n">
        <v>1.038116754</v>
      </c>
      <c r="E565" s="15" t="n">
        <v>10805.27</v>
      </c>
      <c r="F565" s="23" t="n">
        <v>0.2127</v>
      </c>
      <c r="G565" s="23" t="n">
        <v>0.2739</v>
      </c>
      <c r="H565" s="23" t="n">
        <v>0.066</v>
      </c>
      <c r="I565" s="23" t="n">
        <v>0.0703</v>
      </c>
      <c r="J565" s="23" t="n">
        <v>0.0799</v>
      </c>
      <c r="K565" s="23" t="n">
        <v>0.0199</v>
      </c>
      <c r="L565" s="23" t="n">
        <v>0.0402</v>
      </c>
      <c r="M565" s="23" t="n">
        <v>0.0222</v>
      </c>
      <c r="N565" s="21" t="n">
        <v>173.1043</v>
      </c>
      <c r="O565" s="21" t="n">
        <v>540.9316</v>
      </c>
      <c r="P565" s="23" t="n">
        <v>0.1439</v>
      </c>
      <c r="Q565" s="23" t="n">
        <v>0.0897</v>
      </c>
      <c r="R565" s="24" t="n">
        <v>73</v>
      </c>
    </row>
    <row r="566">
      <c r="A566" s="25" t="inlineStr">
        <is>
          <t>National</t>
        </is>
      </c>
      <c r="B566" s="25" t="n">
        <v>2014</v>
      </c>
      <c r="C566" s="26" t="n">
        <v>56767775</v>
      </c>
      <c r="D566" s="27" t="n">
        <v>307.544792475</v>
      </c>
      <c r="E566" s="28" t="n">
        <v>9190.6</v>
      </c>
      <c r="F566" s="29" t="n">
        <v>0.2851</v>
      </c>
      <c r="G566" s="29" t="n">
        <v>0.1413</v>
      </c>
      <c r="H566" s="29" t="n">
        <v>0.1039</v>
      </c>
      <c r="I566" s="29" t="n">
        <v>0.0901</v>
      </c>
      <c r="J566" s="29" t="n">
        <v>0.0237</v>
      </c>
      <c r="K566" s="29" t="n">
        <v>0.0562</v>
      </c>
      <c r="L566" s="29" t="n">
        <v>0.0516</v>
      </c>
      <c r="M566" s="29" t="n">
        <v>0.0338</v>
      </c>
      <c r="N566" s="26" t="n">
        <v>281.6952</v>
      </c>
      <c r="O566" s="26" t="n">
        <v>670.7247</v>
      </c>
      <c r="P566" s="29" t="n">
        <v>0.1808</v>
      </c>
      <c r="Q566" s="29" t="n">
        <v>0.2148</v>
      </c>
      <c r="R566" s="30" t="n">
        <v>71</v>
      </c>
    </row>
    <row r="567">
      <c r="A567" s="31" t="inlineStr">
        <is>
          <t>National</t>
        </is>
      </c>
      <c r="B567" s="31" t="n">
        <v>2015</v>
      </c>
      <c r="C567" s="32" t="n">
        <v>58294174</v>
      </c>
      <c r="D567" s="33" t="n">
        <v>317.22801079</v>
      </c>
      <c r="E567" s="34" t="n">
        <v>9454.99</v>
      </c>
      <c r="F567" s="35" t="n">
        <v>0.2796</v>
      </c>
      <c r="G567" s="35" t="n">
        <v>0.1465</v>
      </c>
      <c r="H567" s="35" t="n">
        <v>0.1038</v>
      </c>
      <c r="I567" s="35" t="n">
        <v>0.0883</v>
      </c>
      <c r="J567" s="35" t="n">
        <v>0.0245</v>
      </c>
      <c r="K567" s="35" t="n">
        <v>0.0557</v>
      </c>
      <c r="L567" s="35" t="n">
        <v>0.0511</v>
      </c>
      <c r="M567" s="35" t="n">
        <v>0.0336</v>
      </c>
      <c r="N567" s="32" t="n">
        <v>278.6039</v>
      </c>
      <c r="O567" s="32" t="n">
        <v>682.516</v>
      </c>
      <c r="P567" s="35" t="n">
        <v>0.1797</v>
      </c>
      <c r="Q567" s="35" t="n">
        <v>0.2095</v>
      </c>
      <c r="R567" s="36" t="n">
        <v>71</v>
      </c>
    </row>
    <row r="568">
      <c r="A568" s="25" t="inlineStr">
        <is>
          <t>National</t>
        </is>
      </c>
      <c r="B568" s="25" t="n">
        <v>2016</v>
      </c>
      <c r="C568" s="26" t="n">
        <v>59748950</v>
      </c>
      <c r="D568" s="27" t="n">
        <v>323.935967164</v>
      </c>
      <c r="E568" s="28" t="n">
        <v>9532.68</v>
      </c>
      <c r="F568" s="29" t="n">
        <v>0.2821</v>
      </c>
      <c r="G568" s="29" t="n">
        <v>0.1527</v>
      </c>
      <c r="H568" s="29" t="n">
        <v>0.1019</v>
      </c>
      <c r="I568" s="29" t="n">
        <v>0.0842</v>
      </c>
      <c r="J568" s="29" t="n">
        <v>0.0206</v>
      </c>
      <c r="K568" s="29" t="n">
        <v>0.0545</v>
      </c>
      <c r="L568" s="29" t="n">
        <v>0.0512</v>
      </c>
      <c r="M568" s="29" t="n">
        <v>0.0345</v>
      </c>
      <c r="N568" s="26" t="n">
        <v>273.4246</v>
      </c>
      <c r="O568" s="26" t="n">
        <v>682.996</v>
      </c>
      <c r="P568" s="29" t="n">
        <v>0.1793</v>
      </c>
      <c r="Q568" s="29" t="n">
        <v>0.2068</v>
      </c>
      <c r="R568" s="30" t="n">
        <v>71</v>
      </c>
    </row>
    <row r="569">
      <c r="A569" s="31" t="inlineStr">
        <is>
          <t>National</t>
        </is>
      </c>
      <c r="B569" s="31" t="n">
        <v>2017</v>
      </c>
      <c r="C569" s="32" t="n">
        <v>61183227</v>
      </c>
      <c r="D569" s="33" t="n">
        <v>328.935074075</v>
      </c>
      <c r="E569" s="34" t="n">
        <v>9753.219999999999</v>
      </c>
      <c r="F569" s="35" t="n">
        <v>0.2809</v>
      </c>
      <c r="G569" s="35" t="n">
        <v>0.1602</v>
      </c>
      <c r="H569" s="35" t="n">
        <v>0.1012</v>
      </c>
      <c r="I569" s="35" t="n">
        <v>0.0815</v>
      </c>
      <c r="J569" s="35" t="n">
        <v>0.0192</v>
      </c>
      <c r="K569" s="35" t="n">
        <v>0.0526</v>
      </c>
      <c r="L569" s="35" t="n">
        <v>0.0504</v>
      </c>
      <c r="M569" s="35" t="n">
        <v>0.0349</v>
      </c>
      <c r="N569" s="32" t="n">
        <v>273.4577</v>
      </c>
      <c r="O569" s="32" t="n">
        <v>685.91</v>
      </c>
      <c r="P569" s="35" t="n">
        <v>0.1805</v>
      </c>
      <c r="Q569" s="35" t="n">
        <v>0.2037</v>
      </c>
      <c r="R569" s="36" t="n">
        <v>72</v>
      </c>
    </row>
    <row r="570">
      <c r="A570" s="25" t="inlineStr">
        <is>
          <t>National</t>
        </is>
      </c>
      <c r="B570" s="25" t="n">
        <v>2018</v>
      </c>
      <c r="C570" s="26" t="n">
        <v>62873334</v>
      </c>
      <c r="D570" s="27" t="n">
        <v>338.095379371</v>
      </c>
      <c r="E570" s="28" t="n">
        <v>10092.56</v>
      </c>
      <c r="F570" s="29" t="n">
        <v>0.272</v>
      </c>
      <c r="G570" s="29" t="n">
        <v>0.1705</v>
      </c>
      <c r="H570" s="29" t="n">
        <v>0.0994</v>
      </c>
      <c r="I570" s="29" t="n">
        <v>0.0775</v>
      </c>
      <c r="J570" s="29" t="n">
        <v>0.0206</v>
      </c>
      <c r="K570" s="29" t="n">
        <v>0.051</v>
      </c>
      <c r="L570" s="29" t="n">
        <v>0.0498</v>
      </c>
      <c r="M570" s="29" t="n">
        <v>0.0351</v>
      </c>
      <c r="N570" s="26" t="n">
        <v>266.1134</v>
      </c>
      <c r="O570" s="26" t="n">
        <v>670.4668</v>
      </c>
      <c r="P570" s="29" t="n">
        <v>0.1806</v>
      </c>
      <c r="Q570" s="29" t="n">
        <v>0.1975</v>
      </c>
      <c r="R570" s="30" t="n">
        <v>72</v>
      </c>
    </row>
    <row r="571">
      <c r="A571" s="31" t="inlineStr">
        <is>
          <t>National</t>
        </is>
      </c>
      <c r="B571" s="31" t="n">
        <v>2019</v>
      </c>
      <c r="C571" s="32" t="n">
        <v>64424327</v>
      </c>
      <c r="D571" s="33" t="n">
        <v>345.117895949</v>
      </c>
      <c r="E571" s="34" t="n">
        <v>10403.81</v>
      </c>
      <c r="F571" s="35" t="n">
        <v>0.268</v>
      </c>
      <c r="G571" s="35" t="n">
        <v>0.1736</v>
      </c>
      <c r="H571" s="35" t="n">
        <v>0.0985</v>
      </c>
      <c r="I571" s="35" t="n">
        <v>0.07480000000000001</v>
      </c>
      <c r="J571" s="35" t="n">
        <v>0.0208</v>
      </c>
      <c r="K571" s="35" t="n">
        <v>0.0494</v>
      </c>
      <c r="L571" s="35" t="n">
        <v>0.0501</v>
      </c>
      <c r="M571" s="35" t="n">
        <v>0.0362</v>
      </c>
      <c r="N571" s="32" t="n">
        <v>261.5235</v>
      </c>
      <c r="O571" s="32" t="n">
        <v>661.9618</v>
      </c>
      <c r="P571" s="35" t="n">
        <v>0.1812</v>
      </c>
      <c r="Q571" s="35" t="n">
        <v>0.1887</v>
      </c>
      <c r="R571" s="36" t="n">
        <v>72</v>
      </c>
    </row>
    <row r="572">
      <c r="A572" s="25" t="inlineStr">
        <is>
          <t>National</t>
        </is>
      </c>
      <c r="B572" s="25" t="n">
        <v>2020</v>
      </c>
      <c r="C572" s="26" t="n">
        <v>65843042</v>
      </c>
      <c r="D572" s="27" t="n">
        <v>321.8492516</v>
      </c>
      <c r="E572" s="28" t="n">
        <v>9931.219999999999</v>
      </c>
      <c r="F572" s="29" t="n">
        <v>0.2618</v>
      </c>
      <c r="G572" s="29" t="n">
        <v>0.1709</v>
      </c>
      <c r="H572" s="29" t="n">
        <v>0.09379999999999999</v>
      </c>
      <c r="I572" s="29" t="n">
        <v>0.0825</v>
      </c>
      <c r="J572" s="29" t="n">
        <v>0.0237</v>
      </c>
      <c r="K572" s="29" t="n">
        <v>0.0499</v>
      </c>
      <c r="L572" s="29" t="n">
        <v>0.0456</v>
      </c>
      <c r="M572" s="29" t="n">
        <v>0.0395</v>
      </c>
      <c r="N572" s="26" t="n">
        <v>223.4531</v>
      </c>
      <c r="O572" s="26" t="n">
        <v>534.8200000000001</v>
      </c>
      <c r="P572" s="29" t="n">
        <v>0.1814</v>
      </c>
      <c r="Q572" s="29" t="n">
        <v>0.1798</v>
      </c>
      <c r="R572" s="30" t="n">
        <v>72</v>
      </c>
    </row>
    <row r="573">
      <c r="A573" s="31" t="inlineStr">
        <is>
          <t>National</t>
        </is>
      </c>
      <c r="B573" s="31" t="n">
        <v>2021</v>
      </c>
      <c r="C573" s="32" t="n">
        <v>66962048</v>
      </c>
      <c r="D573" s="33" t="n">
        <v>330.525431825</v>
      </c>
      <c r="E573" s="34" t="n">
        <v>10696.49</v>
      </c>
      <c r="F573" s="35" t="n">
        <v>0.2519</v>
      </c>
      <c r="G573" s="35" t="n">
        <v>0.1838</v>
      </c>
      <c r="H573" s="35" t="n">
        <v>0.1029</v>
      </c>
      <c r="I573" s="35" t="n">
        <v>0.0742</v>
      </c>
      <c r="J573" s="35" t="n">
        <v>0.0244</v>
      </c>
      <c r="K573" s="35" t="n">
        <v>0.0473</v>
      </c>
      <c r="L573" s="35" t="n">
        <v>0.0466</v>
      </c>
      <c r="M573" s="35" t="n">
        <v>0.0369</v>
      </c>
      <c r="N573" s="32" t="n">
        <v>219.5426</v>
      </c>
      <c r="O573" s="32" t="n">
        <v>559.3057</v>
      </c>
      <c r="P573" s="35" t="n">
        <v>0.18</v>
      </c>
      <c r="Q573" s="35" t="n">
        <v>0.1712</v>
      </c>
      <c r="R573" s="36" t="n">
        <v>72</v>
      </c>
    </row>
    <row r="574">
      <c r="A574" s="25" t="inlineStr">
        <is>
          <t>National</t>
        </is>
      </c>
      <c r="B574" s="25" t="n">
        <v>2022</v>
      </c>
      <c r="C574" s="26" t="n">
        <v>68192489</v>
      </c>
      <c r="D574" s="27" t="n">
        <v>328.630875679</v>
      </c>
      <c r="E574" s="28" t="n">
        <v>11087.43</v>
      </c>
      <c r="F574" s="29" t="n">
        <v>0.2458</v>
      </c>
      <c r="G574" s="29" t="n">
        <v>0.1884</v>
      </c>
      <c r="H574" s="29" t="n">
        <v>0.1006</v>
      </c>
      <c r="I574" s="29" t="n">
        <v>0.079</v>
      </c>
      <c r="J574" s="29" t="n">
        <v>0.0273</v>
      </c>
      <c r="K574" s="29" t="n">
        <v>0.0457</v>
      </c>
      <c r="L574" s="29" t="n">
        <v>0.0456</v>
      </c>
      <c r="M574" s="29" t="n">
        <v>0.037</v>
      </c>
      <c r="N574" s="26" t="n">
        <v>218.2738</v>
      </c>
      <c r="O574" s="26" t="n">
        <v>575.5672</v>
      </c>
      <c r="P574" s="29" t="n">
        <v>0.1782</v>
      </c>
      <c r="Q574" s="29" t="n">
        <v>0.165</v>
      </c>
      <c r="R574" s="30" t="n">
        <v>73</v>
      </c>
    </row>
    <row r="575">
      <c r="A575" s="31" t="inlineStr">
        <is>
          <t>National</t>
        </is>
      </c>
      <c r="B575" s="31" t="n">
        <v>2023</v>
      </c>
      <c r="C575" s="32" t="n">
        <v>69515527</v>
      </c>
      <c r="D575" s="33" t="n">
        <v>337.672364012</v>
      </c>
      <c r="E575" s="34" t="n">
        <v>11886.19</v>
      </c>
      <c r="F575" s="35" t="n">
        <v>0.2351</v>
      </c>
      <c r="G575" s="35" t="n">
        <v>0.1914</v>
      </c>
      <c r="H575" s="35" t="n">
        <v>0.098</v>
      </c>
      <c r="I575" s="35" t="n">
        <v>0.07140000000000001</v>
      </c>
      <c r="J575" s="35" t="n">
        <v>0.0438</v>
      </c>
      <c r="K575" s="35" t="n">
        <v>0.0434</v>
      </c>
      <c r="L575" s="35" t="n">
        <v>0.0436</v>
      </c>
      <c r="M575" s="35" t="n">
        <v>0.0374</v>
      </c>
      <c r="N575" s="32" t="n">
        <v>222.3068</v>
      </c>
      <c r="O575" s="32" t="n">
        <v>583.2071</v>
      </c>
      <c r="P575" s="35" t="n">
        <v>0.1784</v>
      </c>
      <c r="Q575" s="35" t="n">
        <v>0.158</v>
      </c>
      <c r="R575" s="36" t="n">
        <v>73</v>
      </c>
    </row>
    <row r="576">
      <c r="A576" s="25" t="inlineStr">
        <is>
          <t>National</t>
        </is>
      </c>
      <c r="B576" s="25" t="n">
        <v>2024</v>
      </c>
      <c r="C576" s="26" t="n">
        <v>71035683</v>
      </c>
      <c r="D576" s="27" t="n">
        <v>348.129360307</v>
      </c>
      <c r="E576" s="28" t="n">
        <v>12553.26</v>
      </c>
      <c r="F576" s="29" t="n">
        <v>0.2293</v>
      </c>
      <c r="G576" s="29" t="n">
        <v>0.1951</v>
      </c>
      <c r="H576" s="29" t="n">
        <v>0.09660000000000001</v>
      </c>
      <c r="I576" s="29" t="n">
        <v>0.0696</v>
      </c>
      <c r="J576" s="29" t="n">
        <v>0.0485</v>
      </c>
      <c r="K576" s="29" t="n">
        <v>0.0422</v>
      </c>
      <c r="L576" s="29" t="n">
        <v>0.0416</v>
      </c>
      <c r="M576" s="29" t="n">
        <v>0.0379</v>
      </c>
      <c r="N576" s="26" t="n">
        <v>224.8391</v>
      </c>
      <c r="O576" s="26" t="n">
        <v>590.5484</v>
      </c>
      <c r="P576" s="29" t="n">
        <v>0.1807</v>
      </c>
      <c r="Q576" s="29" t="n">
        <v>0.1457</v>
      </c>
      <c r="R576" s="30" t="n">
        <v>73</v>
      </c>
    </row>
  </sheetData>
  <autoFilter ref="A4:R576"/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</cols>
  <sheetData>
    <row r="1">
      <c r="A1" s="1" t="inlineStr">
        <is>
          <t>Q1: Where does the Medicare dollar go?</t>
        </is>
      </c>
    </row>
    <row r="2">
      <c r="A2" s="2" t="inlineStr">
        <is>
          <t>2024 national spending mix (standardized payments). Inpatient + outpatient hospitals absorb 42 cents of every dollar.</t>
        </is>
      </c>
    </row>
    <row r="3">
      <c r="A3" s="6" t="inlineStr">
        <is>
          <t>Back to Cover</t>
        </is>
      </c>
    </row>
    <row r="4">
      <c r="A4" s="7" t="inlineStr">
        <is>
          <t>Service category</t>
        </is>
      </c>
      <c r="B4" s="7" t="inlineStr">
        <is>
          <t>Share of spending</t>
        </is>
      </c>
      <c r="C4" s="7" t="inlineStr">
        <is>
          <t>$ Billions</t>
        </is>
      </c>
    </row>
    <row r="5">
      <c r="A5" t="inlineStr">
        <is>
          <t>Inpatient hospital</t>
        </is>
      </c>
      <c r="B5" s="23" t="n">
        <v>0.2293</v>
      </c>
      <c r="C5" s="37" t="n">
        <v>79.8260623183951</v>
      </c>
    </row>
    <row r="6">
      <c r="A6" s="25" t="inlineStr">
        <is>
          <t>Outpatient hospital</t>
        </is>
      </c>
      <c r="B6" s="29" t="n">
        <v>0.1951</v>
      </c>
      <c r="C6" s="38" t="n">
        <v>67.9200381958957</v>
      </c>
    </row>
    <row r="7">
      <c r="A7" t="inlineStr">
        <is>
          <t>E&amp;M physician</t>
        </is>
      </c>
      <c r="B7" s="23" t="n">
        <v>0.09660000000000001</v>
      </c>
      <c r="C7" s="37" t="n">
        <v>33.6292962056562</v>
      </c>
    </row>
    <row r="8">
      <c r="A8" s="25" t="inlineStr">
        <is>
          <t>Treatments</t>
        </is>
      </c>
      <c r="B8" s="29" t="n">
        <v>0.0888</v>
      </c>
      <c r="C8" s="38" t="n">
        <v>30.9138871952616</v>
      </c>
    </row>
    <row r="9">
      <c r="A9" t="inlineStr">
        <is>
          <t>Skilled nursing</t>
        </is>
      </c>
      <c r="B9" s="23" t="n">
        <v>0.0696</v>
      </c>
      <c r="C9" s="37" t="n">
        <v>24.2298034773672</v>
      </c>
    </row>
    <row r="10">
      <c r="A10" s="25" t="inlineStr">
        <is>
          <t>DME</t>
        </is>
      </c>
      <c r="B10" s="29" t="n">
        <v>0.0485</v>
      </c>
      <c r="C10" s="38" t="n">
        <v>16.8842739748895</v>
      </c>
    </row>
    <row r="11">
      <c r="A11" t="inlineStr">
        <is>
          <t>Home health</t>
        </is>
      </c>
      <c r="B11" s="23" t="n">
        <v>0.0422</v>
      </c>
      <c r="C11" s="37" t="n">
        <v>14.6910590049554</v>
      </c>
    </row>
    <row r="12">
      <c r="A12" s="25" t="inlineStr">
        <is>
          <t>Procedures</t>
        </is>
      </c>
      <c r="B12" s="29" t="n">
        <v>0.0416</v>
      </c>
      <c r="C12" s="38" t="n">
        <v>14.4821813887712</v>
      </c>
    </row>
    <row r="13">
      <c r="A13" t="inlineStr">
        <is>
          <t>Hospice</t>
        </is>
      </c>
      <c r="B13" s="23" t="n">
        <v>0.0379</v>
      </c>
      <c r="C13" s="37" t="n">
        <v>13.1941027556353</v>
      </c>
    </row>
    <row r="14">
      <c r="A14" s="25" t="inlineStr">
        <is>
          <t>Tests</t>
        </is>
      </c>
      <c r="B14" s="29" t="n">
        <v>0.0301</v>
      </c>
      <c r="C14" s="38" t="n">
        <v>10.4786937452407</v>
      </c>
    </row>
    <row r="15">
      <c r="A15" t="inlineStr">
        <is>
          <t>Rehab (IRF)</t>
        </is>
      </c>
      <c r="B15" s="23" t="n">
        <v>0.0292</v>
      </c>
      <c r="C15" s="37" t="n">
        <v>10.1653773209644</v>
      </c>
    </row>
    <row r="16">
      <c r="A16" s="25" t="inlineStr">
        <is>
          <t>Imaging</t>
        </is>
      </c>
      <c r="B16" s="29" t="n">
        <v>0.0216</v>
      </c>
      <c r="C16" s="38" t="n">
        <v>7.5195941826312</v>
      </c>
    </row>
    <row r="17">
      <c r="A17" t="inlineStr">
        <is>
          <t>Surgery center</t>
        </is>
      </c>
      <c r="B17" s="23" t="n">
        <v>0.0169</v>
      </c>
      <c r="C17" s="37" t="n">
        <v>5.883386189188299</v>
      </c>
    </row>
    <row r="18">
      <c r="A18" s="25" t="inlineStr">
        <is>
          <t>Dialysis</t>
        </is>
      </c>
      <c r="B18" s="29" t="n">
        <v>0.0152</v>
      </c>
      <c r="C18" s="38" t="n">
        <v>5.2915662766664</v>
      </c>
    </row>
    <row r="19">
      <c r="A19" t="inlineStr">
        <is>
          <t>Ambulance</t>
        </is>
      </c>
      <c r="B19" s="23" t="n">
        <v>0.0113</v>
      </c>
      <c r="C19" s="37" t="n">
        <v>3.9338617714691</v>
      </c>
    </row>
    <row r="20">
      <c r="A20" s="25" t="inlineStr">
        <is>
          <t>FQHC/RHC</t>
        </is>
      </c>
      <c r="B20" s="29" t="n">
        <v>0.0066</v>
      </c>
      <c r="C20" s="38" t="n">
        <v>2.2976537780262</v>
      </c>
    </row>
    <row r="21">
      <c r="A21" t="inlineStr">
        <is>
          <t>Long-term hospital</t>
        </is>
      </c>
      <c r="B21" s="23" t="n">
        <v>0.0058</v>
      </c>
      <c r="C21" s="37" t="n">
        <v>2.0191502897806</v>
      </c>
    </row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5" max="5"/>
    <col width="14" customWidth="1" min="6" max="6"/>
  </cols>
  <sheetData>
    <row r="1">
      <c r="A1" s="1" t="inlineStr">
        <is>
          <t>Q2: Which states spend the most per beneficiary?</t>
        </is>
      </c>
    </row>
    <row r="2">
      <c r="A2" s="2" t="inlineStr">
        <is>
          <t>2024 standardized $ per beneficiary (price-adjusted). Florida spends 70% more than Hawaii: a 1.7x gap driven by utilization, not prices.</t>
        </is>
      </c>
    </row>
    <row r="3">
      <c r="A3" s="6" t="inlineStr">
        <is>
          <t>Back to Cover</t>
        </is>
      </c>
    </row>
    <row r="4">
      <c r="A4" s="16" t="inlineStr">
        <is>
          <t>10 highest-spending states</t>
        </is>
      </c>
      <c r="E4" s="16" t="inlineStr">
        <is>
          <t>10 lowest-spending states</t>
        </is>
      </c>
    </row>
    <row r="5">
      <c r="A5" s="7" t="inlineStr">
        <is>
          <t>State</t>
        </is>
      </c>
      <c r="B5" s="7" t="inlineStr">
        <is>
          <t>Std $ per bene.</t>
        </is>
      </c>
      <c r="E5" s="7" t="inlineStr">
        <is>
          <t>State</t>
        </is>
      </c>
      <c r="F5" s="7" t="inlineStr">
        <is>
          <t>Std $ per bene.</t>
        </is>
      </c>
    </row>
    <row r="6">
      <c r="A6" s="25" t="inlineStr">
        <is>
          <t>FL</t>
        </is>
      </c>
      <c r="B6" s="28" t="n">
        <v>14679.6</v>
      </c>
      <c r="E6" s="25" t="inlineStr">
        <is>
          <t>HI</t>
        </is>
      </c>
      <c r="F6" s="28" t="n">
        <v>8621.85</v>
      </c>
    </row>
    <row r="7">
      <c r="A7" t="inlineStr">
        <is>
          <t>OK</t>
        </is>
      </c>
      <c r="B7" s="15" t="n">
        <v>14317.98</v>
      </c>
      <c r="E7" t="inlineStr">
        <is>
          <t>AK</t>
        </is>
      </c>
      <c r="F7" s="15" t="n">
        <v>9209.459999999999</v>
      </c>
    </row>
    <row r="8">
      <c r="A8" s="25" t="inlineStr">
        <is>
          <t>MS</t>
        </is>
      </c>
      <c r="B8" s="28" t="n">
        <v>14252.64</v>
      </c>
      <c r="E8" s="25" t="inlineStr">
        <is>
          <t>OR</t>
        </is>
      </c>
      <c r="F8" s="28" t="n">
        <v>9538.559999999999</v>
      </c>
    </row>
    <row r="9">
      <c r="A9" t="inlineStr">
        <is>
          <t>LA</t>
        </is>
      </c>
      <c r="B9" s="15" t="n">
        <v>14246.68</v>
      </c>
      <c r="E9" t="inlineStr">
        <is>
          <t>VT</t>
        </is>
      </c>
      <c r="F9" s="15" t="n">
        <v>9544.33</v>
      </c>
    </row>
    <row r="10">
      <c r="A10" s="25" t="inlineStr">
        <is>
          <t>TX</t>
        </is>
      </c>
      <c r="B10" s="28" t="n">
        <v>14055.66</v>
      </c>
      <c r="E10" s="25" t="inlineStr">
        <is>
          <t>MT</t>
        </is>
      </c>
      <c r="F10" s="28" t="n">
        <v>10030.76</v>
      </c>
    </row>
    <row r="11">
      <c r="A11" t="inlineStr">
        <is>
          <t>NJ</t>
        </is>
      </c>
      <c r="B11" s="15" t="n">
        <v>13489.59</v>
      </c>
      <c r="E11" t="inlineStr">
        <is>
          <t>WA</t>
        </is>
      </c>
      <c r="F11" s="15" t="n">
        <v>10036.56</v>
      </c>
    </row>
    <row r="12">
      <c r="A12" s="25" t="inlineStr">
        <is>
          <t>AL</t>
        </is>
      </c>
      <c r="B12" s="28" t="n">
        <v>13308.73</v>
      </c>
      <c r="E12" s="25" t="inlineStr">
        <is>
          <t>NM</t>
        </is>
      </c>
      <c r="F12" s="28" t="n">
        <v>10314.04</v>
      </c>
    </row>
    <row r="13">
      <c r="A13" t="inlineStr">
        <is>
          <t>CA</t>
        </is>
      </c>
      <c r="B13" s="15" t="n">
        <v>13253.86</v>
      </c>
      <c r="E13" t="inlineStr">
        <is>
          <t>ME</t>
        </is>
      </c>
      <c r="F13" s="15" t="n">
        <v>10530.38</v>
      </c>
    </row>
    <row r="14">
      <c r="A14" s="25" t="inlineStr">
        <is>
          <t>NY</t>
        </is>
      </c>
      <c r="B14" s="28" t="n">
        <v>13237.14</v>
      </c>
      <c r="E14" s="25" t="inlineStr">
        <is>
          <t>NH</t>
        </is>
      </c>
      <c r="F14" s="28" t="n">
        <v>10536.68</v>
      </c>
    </row>
    <row r="15">
      <c r="A15" t="inlineStr">
        <is>
          <t>NV</t>
        </is>
      </c>
      <c r="B15" s="15" t="n">
        <v>13211.02</v>
      </c>
      <c r="E15" t="inlineStr">
        <is>
          <t>ID</t>
        </is>
      </c>
      <c r="F15" s="15" t="n">
        <v>10593.66</v>
      </c>
    </row>
    <row r="33">
      <c r="A33" s="2" t="inlineStr">
        <is>
          <t>Takeaway: after CMS strips out price differences, a 1.7x gap remains between Florida ($14,680) and Hawaii ($8,622). High-spending states are concentrated in the South.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Q3: What is driving spending growth?</t>
        </is>
      </c>
    </row>
    <row r="2">
      <c r="A2" s="2" t="inlineStr">
        <is>
          <t>Per-beneficiary spending rose 36.6% in a decade, and the site of care moved: outpatient gained the 5.6 points inpatient lost.</t>
        </is>
      </c>
    </row>
    <row r="3">
      <c r="A3" s="6" t="inlineStr">
        <is>
          <t>Back to Cover</t>
        </is>
      </c>
    </row>
    <row r="4">
      <c r="A4" s="7" t="inlineStr">
        <is>
          <t>Year</t>
        </is>
      </c>
      <c r="B4" s="7" t="inlineStr">
        <is>
          <t>Std $ per beneficiary</t>
        </is>
      </c>
    </row>
    <row r="5">
      <c r="A5" t="n">
        <v>2014</v>
      </c>
      <c r="B5" s="15" t="n">
        <v>9190.6</v>
      </c>
    </row>
    <row r="6">
      <c r="A6" s="25" t="n">
        <v>2015</v>
      </c>
      <c r="B6" s="28" t="n">
        <v>9454.99</v>
      </c>
    </row>
    <row r="7">
      <c r="A7" t="n">
        <v>2016</v>
      </c>
      <c r="B7" s="15" t="n">
        <v>9532.68</v>
      </c>
    </row>
    <row r="8">
      <c r="A8" s="25" t="n">
        <v>2017</v>
      </c>
      <c r="B8" s="28" t="n">
        <v>9753.219999999999</v>
      </c>
    </row>
    <row r="9">
      <c r="A9" t="n">
        <v>2018</v>
      </c>
      <c r="B9" s="15" t="n">
        <v>10092.56</v>
      </c>
    </row>
    <row r="10">
      <c r="A10" s="25" t="n">
        <v>2019</v>
      </c>
      <c r="B10" s="28" t="n">
        <v>10403.81</v>
      </c>
    </row>
    <row r="11">
      <c r="A11" t="n">
        <v>2020</v>
      </c>
      <c r="B11" s="15" t="n">
        <v>9931.219999999999</v>
      </c>
    </row>
    <row r="12">
      <c r="A12" s="25" t="n">
        <v>2021</v>
      </c>
      <c r="B12" s="28" t="n">
        <v>10696.49</v>
      </c>
    </row>
    <row r="13">
      <c r="A13" t="n">
        <v>2022</v>
      </c>
      <c r="B13" s="15" t="n">
        <v>11087.43</v>
      </c>
    </row>
    <row r="14">
      <c r="A14" s="25" t="n">
        <v>2023</v>
      </c>
      <c r="B14" s="28" t="n">
        <v>11886.19</v>
      </c>
    </row>
    <row r="15">
      <c r="A15" t="n">
        <v>2024</v>
      </c>
      <c r="B15" s="15" t="n">
        <v>12553.26</v>
      </c>
    </row>
    <row r="18">
      <c r="A18" s="16" t="inlineStr">
        <is>
          <t>Biggest share shifts, 2014 to 2024 (percentage points)</t>
        </is>
      </c>
    </row>
    <row r="19">
      <c r="A19" s="7" t="inlineStr">
        <is>
          <t>Category</t>
        </is>
      </c>
      <c r="B19" s="7" t="inlineStr">
        <is>
          <t>2014</t>
        </is>
      </c>
      <c r="C19" s="7" t="inlineStr">
        <is>
          <t>2024</t>
        </is>
      </c>
      <c r="D19" s="7" t="inlineStr">
        <is>
          <t>Change (pp)</t>
        </is>
      </c>
    </row>
    <row r="20">
      <c r="A20" s="25" t="inlineStr">
        <is>
          <t>Inpatient hospital</t>
        </is>
      </c>
      <c r="B20" s="29" t="n">
        <v>0.2851</v>
      </c>
      <c r="C20" s="29" t="n">
        <v>0.2293</v>
      </c>
      <c r="D20" s="39" t="n">
        <v>-0.05580000000000002</v>
      </c>
    </row>
    <row r="21">
      <c r="A21" t="inlineStr">
        <is>
          <t>Outpatient hospital</t>
        </is>
      </c>
      <c r="B21" s="23" t="n">
        <v>0.1413</v>
      </c>
      <c r="C21" s="23" t="n">
        <v>0.1951</v>
      </c>
      <c r="D21" s="40" t="n">
        <v>0.05379999999999999</v>
      </c>
    </row>
    <row r="22">
      <c r="A22" s="25" t="inlineStr">
        <is>
          <t>Treatments</t>
        </is>
      </c>
      <c r="B22" s="29" t="n">
        <v>0.0521</v>
      </c>
      <c r="C22" s="29" t="n">
        <v>0.0888</v>
      </c>
      <c r="D22" s="39" t="n">
        <v>0.0367</v>
      </c>
    </row>
    <row r="23">
      <c r="A23" t="inlineStr">
        <is>
          <t>DME</t>
        </is>
      </c>
      <c r="B23" s="23" t="n">
        <v>0.0237</v>
      </c>
      <c r="C23" s="23" t="n">
        <v>0.0485</v>
      </c>
      <c r="D23" s="40" t="n">
        <v>0.0248</v>
      </c>
    </row>
    <row r="24">
      <c r="A24" s="25" t="inlineStr">
        <is>
          <t>Skilled nursing</t>
        </is>
      </c>
      <c r="B24" s="29" t="n">
        <v>0.0901</v>
      </c>
      <c r="C24" s="29" t="n">
        <v>0.0696</v>
      </c>
      <c r="D24" s="39" t="n">
        <v>-0.0205</v>
      </c>
    </row>
    <row r="25">
      <c r="A25" t="inlineStr">
        <is>
          <t>Home health</t>
        </is>
      </c>
      <c r="B25" s="23" t="n">
        <v>0.0562</v>
      </c>
      <c r="C25" s="23" t="n">
        <v>0.0422</v>
      </c>
      <c r="D25" s="40" t="n">
        <v>-0.014</v>
      </c>
    </row>
    <row r="28">
      <c r="A28" s="16" t="inlineStr">
        <is>
          <t>Fastest vs slowest growing states, per-beneficiary 2014-2024</t>
        </is>
      </c>
    </row>
    <row r="29">
      <c r="A29" s="7" t="inlineStr">
        <is>
          <t>Fastest</t>
        </is>
      </c>
      <c r="B29" s="7" t="inlineStr">
        <is>
          <t>Growth</t>
        </is>
      </c>
      <c r="D29" s="7" t="inlineStr">
        <is>
          <t>Slowest</t>
        </is>
      </c>
      <c r="E29" s="7" t="inlineStr">
        <is>
          <t>Growth</t>
        </is>
      </c>
    </row>
    <row r="30">
      <c r="A30" t="inlineStr">
        <is>
          <t>CA</t>
        </is>
      </c>
      <c r="B30" s="23" t="n">
        <v>0.5323834166938368</v>
      </c>
      <c r="D30" t="inlineStr">
        <is>
          <t>LA</t>
        </is>
      </c>
      <c r="E30" s="23" t="n">
        <v>0.2954695284574138</v>
      </c>
    </row>
    <row r="31">
      <c r="A31" t="inlineStr">
        <is>
          <t>WY</t>
        </is>
      </c>
      <c r="B31" s="23" t="n">
        <v>0.5107680606025864</v>
      </c>
      <c r="D31" t="inlineStr">
        <is>
          <t>PA</t>
        </is>
      </c>
      <c r="E31" s="23" t="n">
        <v>0.2887428041245808</v>
      </c>
    </row>
    <row r="32">
      <c r="A32" t="inlineStr">
        <is>
          <t>OK</t>
        </is>
      </c>
      <c r="B32" s="23" t="n">
        <v>0.4905650163339836</v>
      </c>
      <c r="D32" t="inlineStr">
        <is>
          <t>DC</t>
        </is>
      </c>
      <c r="E32" s="23" t="n">
        <v>0.2543018917468809</v>
      </c>
    </row>
    <row r="33">
      <c r="A33" t="inlineStr">
        <is>
          <t>MN</t>
        </is>
      </c>
      <c r="B33" s="23" t="n">
        <v>0.4809631171015345</v>
      </c>
      <c r="D33" t="inlineStr">
        <is>
          <t>OH</t>
        </is>
      </c>
      <c r="E33" s="23" t="n">
        <v>0.2452045960418756</v>
      </c>
    </row>
    <row r="34">
      <c r="A34" t="inlineStr">
        <is>
          <t>AZ</t>
        </is>
      </c>
      <c r="B34" s="23" t="n">
        <v>0.4755690242665647</v>
      </c>
      <c r="D34" t="inlineStr">
        <is>
          <t>MI</t>
        </is>
      </c>
      <c r="E34" s="23" t="n">
        <v>0.2366930604271735</v>
      </c>
    </row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Q4: Is it prices or utilization?</t>
        </is>
      </c>
    </row>
    <row r="2">
      <c r="A2" s="2" t="inlineStr">
        <is>
          <t>Standardized payments already remove price differences, yet spending still tracks inpatient stays almost one-for-one (r = 0.81). It is volume, not prices.</t>
        </is>
      </c>
    </row>
    <row r="3">
      <c r="A3" s="6" t="inlineStr">
        <is>
          <t>Back to Cover</t>
        </is>
      </c>
    </row>
    <row r="4">
      <c r="A4" s="7" t="inlineStr">
        <is>
          <t>State</t>
        </is>
      </c>
      <c r="B4" s="7" t="inlineStr">
        <is>
          <t>Std $ per beneficiary</t>
        </is>
      </c>
      <c r="C4" s="7" t="inlineStr">
        <is>
          <t>IP stays per 1,000 bene.</t>
        </is>
      </c>
    </row>
    <row r="5">
      <c r="A5" t="inlineStr">
        <is>
          <t>AK</t>
        </is>
      </c>
      <c r="B5" s="15" t="n">
        <v>9209.459999999999</v>
      </c>
      <c r="C5" s="21" t="n">
        <v>169.2264</v>
      </c>
    </row>
    <row r="6">
      <c r="A6" s="25" t="inlineStr">
        <is>
          <t>AL</t>
        </is>
      </c>
      <c r="B6" s="28" t="n">
        <v>13308.73</v>
      </c>
      <c r="C6" s="26" t="n">
        <v>244.8918</v>
      </c>
    </row>
    <row r="7">
      <c r="A7" t="inlineStr">
        <is>
          <t>AR</t>
        </is>
      </c>
      <c r="B7" s="15" t="n">
        <v>12895.41</v>
      </c>
      <c r="C7" s="21" t="n">
        <v>227.2875</v>
      </c>
    </row>
    <row r="8">
      <c r="A8" s="25" t="inlineStr">
        <is>
          <t>AZ</t>
        </is>
      </c>
      <c r="B8" s="28" t="n">
        <v>12250.72</v>
      </c>
      <c r="C8" s="26" t="n">
        <v>192.5716</v>
      </c>
    </row>
    <row r="9">
      <c r="A9" t="inlineStr">
        <is>
          <t>CA</t>
        </is>
      </c>
      <c r="B9" s="15" t="n">
        <v>13253.86</v>
      </c>
      <c r="C9" s="21" t="n">
        <v>217.3118</v>
      </c>
    </row>
    <row r="10">
      <c r="A10" s="25" t="inlineStr">
        <is>
          <t>CO</t>
        </is>
      </c>
      <c r="B10" s="28" t="n">
        <v>11282.44</v>
      </c>
      <c r="C10" s="26" t="n">
        <v>164.9654</v>
      </c>
    </row>
    <row r="11">
      <c r="A11" t="inlineStr">
        <is>
          <t>CT</t>
        </is>
      </c>
      <c r="B11" s="15" t="n">
        <v>13006.35</v>
      </c>
      <c r="C11" s="21" t="n">
        <v>251.1763</v>
      </c>
    </row>
    <row r="12">
      <c r="A12" s="25" t="inlineStr">
        <is>
          <t>DC</t>
        </is>
      </c>
      <c r="B12" s="28" t="n">
        <v>12132.95</v>
      </c>
      <c r="C12" s="26" t="n">
        <v>231.6691</v>
      </c>
    </row>
    <row r="13">
      <c r="A13" t="inlineStr">
        <is>
          <t>DE</t>
        </is>
      </c>
      <c r="B13" s="15" t="n">
        <v>12428.41</v>
      </c>
      <c r="C13" s="21" t="n">
        <v>209.6365</v>
      </c>
    </row>
    <row r="14">
      <c r="A14" s="25" t="inlineStr">
        <is>
          <t>FL</t>
        </is>
      </c>
      <c r="B14" s="28" t="n">
        <v>14679.6</v>
      </c>
      <c r="C14" s="26" t="n">
        <v>261.7245</v>
      </c>
    </row>
    <row r="15">
      <c r="A15" t="inlineStr">
        <is>
          <t>GA</t>
        </is>
      </c>
      <c r="B15" s="15" t="n">
        <v>12393.08</v>
      </c>
      <c r="C15" s="21" t="n">
        <v>224.0577</v>
      </c>
    </row>
    <row r="16">
      <c r="A16" s="25" t="inlineStr">
        <is>
          <t>HI</t>
        </is>
      </c>
      <c r="B16" s="28" t="n">
        <v>8621.85</v>
      </c>
      <c r="C16" s="26" t="n">
        <v>148.218</v>
      </c>
    </row>
    <row r="17">
      <c r="A17" t="inlineStr">
        <is>
          <t>IA</t>
        </is>
      </c>
      <c r="B17" s="15" t="n">
        <v>11256.57</v>
      </c>
      <c r="C17" s="21" t="n">
        <v>185.3704</v>
      </c>
    </row>
    <row r="18">
      <c r="A18" s="25" t="inlineStr">
        <is>
          <t>ID</t>
        </is>
      </c>
      <c r="B18" s="28" t="n">
        <v>10593.66</v>
      </c>
      <c r="C18" s="26" t="n">
        <v>157.2874</v>
      </c>
    </row>
    <row r="19">
      <c r="A19" t="inlineStr">
        <is>
          <t>IL</t>
        </is>
      </c>
      <c r="B19" s="15" t="n">
        <v>13083.53</v>
      </c>
      <c r="C19" s="21" t="n">
        <v>252.1244</v>
      </c>
    </row>
    <row r="20">
      <c r="A20" s="25" t="inlineStr">
        <is>
          <t>IN</t>
        </is>
      </c>
      <c r="B20" s="28" t="n">
        <v>12451.5</v>
      </c>
      <c r="C20" s="26" t="n">
        <v>233.8393</v>
      </c>
    </row>
    <row r="21">
      <c r="A21" t="inlineStr">
        <is>
          <t>KS</t>
        </is>
      </c>
      <c r="B21" s="15" t="n">
        <v>12619.84</v>
      </c>
      <c r="C21" s="21" t="n">
        <v>218.483</v>
      </c>
    </row>
    <row r="22">
      <c r="A22" s="25" t="inlineStr">
        <is>
          <t>KY</t>
        </is>
      </c>
      <c r="B22" s="28" t="n">
        <v>12540.3</v>
      </c>
      <c r="C22" s="26" t="n">
        <v>241.7321</v>
      </c>
    </row>
    <row r="23">
      <c r="A23" t="inlineStr">
        <is>
          <t>LA</t>
        </is>
      </c>
      <c r="B23" s="15" t="n">
        <v>14246.68</v>
      </c>
      <c r="C23" s="21" t="n">
        <v>243.7823</v>
      </c>
    </row>
    <row r="24">
      <c r="A24" s="25" t="inlineStr">
        <is>
          <t>MA</t>
        </is>
      </c>
      <c r="B24" s="28" t="n">
        <v>12293.47</v>
      </c>
      <c r="C24" s="26" t="n">
        <v>262.3711</v>
      </c>
    </row>
    <row r="25">
      <c r="A25" t="inlineStr">
        <is>
          <t>MD</t>
        </is>
      </c>
      <c r="B25" s="15" t="n">
        <v>12367.27</v>
      </c>
      <c r="C25" s="21" t="n">
        <v>217.7465</v>
      </c>
    </row>
    <row r="26">
      <c r="A26" s="25" t="inlineStr">
        <is>
          <t>ME</t>
        </is>
      </c>
      <c r="B26" s="28" t="n">
        <v>10530.38</v>
      </c>
      <c r="C26" s="26" t="n">
        <v>187.3199</v>
      </c>
    </row>
    <row r="27">
      <c r="A27" t="inlineStr">
        <is>
          <t>MI</t>
        </is>
      </c>
      <c r="B27" s="15" t="n">
        <v>12079.35</v>
      </c>
      <c r="C27" s="21" t="n">
        <v>244.4667</v>
      </c>
    </row>
    <row r="28">
      <c r="A28" s="25" t="inlineStr">
        <is>
          <t>MN</t>
        </is>
      </c>
      <c r="B28" s="28" t="n">
        <v>11764.46</v>
      </c>
      <c r="C28" s="26" t="n">
        <v>219.884</v>
      </c>
      <c r="E28" s="16" t="inlineStr">
        <is>
          <t>Correlation (r), 2024 states:</t>
        </is>
      </c>
    </row>
    <row r="29">
      <c r="A29" t="inlineStr">
        <is>
          <t>MO</t>
        </is>
      </c>
      <c r="B29" s="15" t="n">
        <v>12615.58</v>
      </c>
      <c r="C29" s="21" t="n">
        <v>244.5465</v>
      </c>
      <c r="E29" t="inlineStr">
        <is>
          <t>Inpatient stays per 1,000</t>
        </is>
      </c>
      <c r="F29" s="41" t="n">
        <v>0.8100000000000001</v>
      </c>
    </row>
    <row r="30">
      <c r="A30" s="25" t="inlineStr">
        <is>
          <t>MS</t>
        </is>
      </c>
      <c r="B30" s="28" t="n">
        <v>14252.64</v>
      </c>
      <c r="C30" s="26" t="n">
        <v>241.0956</v>
      </c>
      <c r="E30" t="inlineStr">
        <is>
          <t>ER visits per 1,000</t>
        </is>
      </c>
      <c r="F30" s="41" t="n">
        <v>0.33</v>
      </c>
    </row>
    <row r="31">
      <c r="A31" t="inlineStr">
        <is>
          <t>MT</t>
        </is>
      </c>
      <c r="B31" s="15" t="n">
        <v>10030.76</v>
      </c>
      <c r="C31" s="21" t="n">
        <v>162.1481</v>
      </c>
      <c r="E31" t="inlineStr">
        <is>
          <t>Dual-eligible share</t>
        </is>
      </c>
      <c r="F31" s="41" t="n">
        <v>0</v>
      </c>
    </row>
    <row r="32">
      <c r="A32" s="25" t="inlineStr">
        <is>
          <t>NC</t>
        </is>
      </c>
      <c r="B32" s="28" t="n">
        <v>11361.31</v>
      </c>
      <c r="C32" s="26" t="n">
        <v>211.7055</v>
      </c>
      <c r="E32" s="2" t="inlineStr">
        <is>
          <t>The near-zero link to dual-eligible share is the surprise: poorer, sicker-mix states do not automatically spend more per head.</t>
        </is>
      </c>
    </row>
    <row r="33">
      <c r="A33" t="inlineStr">
        <is>
          <t>ND</t>
        </is>
      </c>
      <c r="B33" s="15" t="n">
        <v>11351.5</v>
      </c>
      <c r="C33" s="21" t="n">
        <v>206.4603</v>
      </c>
    </row>
    <row r="34">
      <c r="A34" s="25" t="inlineStr">
        <is>
          <t>NE</t>
        </is>
      </c>
      <c r="B34" s="28" t="n">
        <v>12054.68</v>
      </c>
      <c r="C34" s="26" t="n">
        <v>207.7354</v>
      </c>
    </row>
    <row r="35">
      <c r="A35" t="inlineStr">
        <is>
          <t>NH</t>
        </is>
      </c>
      <c r="B35" s="15" t="n">
        <v>10536.68</v>
      </c>
      <c r="C35" s="21" t="n">
        <v>197.1658</v>
      </c>
    </row>
    <row r="36">
      <c r="A36" s="25" t="inlineStr">
        <is>
          <t>NJ</t>
        </is>
      </c>
      <c r="B36" s="28" t="n">
        <v>13489.59</v>
      </c>
      <c r="C36" s="26" t="n">
        <v>246.4948</v>
      </c>
    </row>
    <row r="37">
      <c r="A37" t="inlineStr">
        <is>
          <t>NM</t>
        </is>
      </c>
      <c r="B37" s="15" t="n">
        <v>10314.04</v>
      </c>
      <c r="C37" s="21" t="n">
        <v>174.0186</v>
      </c>
    </row>
    <row r="38">
      <c r="A38" s="25" t="inlineStr">
        <is>
          <t>NV</t>
        </is>
      </c>
      <c r="B38" s="28" t="n">
        <v>13211.02</v>
      </c>
      <c r="C38" s="26" t="n">
        <v>221.3623</v>
      </c>
    </row>
    <row r="39">
      <c r="A39" t="inlineStr">
        <is>
          <t>NY</t>
        </is>
      </c>
      <c r="B39" s="15" t="n">
        <v>13237.14</v>
      </c>
      <c r="C39" s="21" t="n">
        <v>251.8018</v>
      </c>
    </row>
    <row r="40">
      <c r="A40" s="25" t="inlineStr">
        <is>
          <t>OH</t>
        </is>
      </c>
      <c r="B40" s="28" t="n">
        <v>12145.24</v>
      </c>
      <c r="C40" s="26" t="n">
        <v>239.2874</v>
      </c>
    </row>
    <row r="41">
      <c r="A41" t="inlineStr">
        <is>
          <t>OK</t>
        </is>
      </c>
      <c r="B41" s="15" t="n">
        <v>14317.98</v>
      </c>
      <c r="C41" s="21" t="n">
        <v>238.6655</v>
      </c>
    </row>
    <row r="42">
      <c r="A42" s="25" t="inlineStr">
        <is>
          <t>OR</t>
        </is>
      </c>
      <c r="B42" s="28" t="n">
        <v>9538.559999999999</v>
      </c>
      <c r="C42" s="26" t="n">
        <v>163.7017</v>
      </c>
    </row>
    <row r="43">
      <c r="A43" t="inlineStr">
        <is>
          <t>PA</t>
        </is>
      </c>
      <c r="B43" s="15" t="n">
        <v>12223.21</v>
      </c>
      <c r="C43" s="21" t="n">
        <v>239.5198</v>
      </c>
    </row>
    <row r="44">
      <c r="A44" s="25" t="inlineStr">
        <is>
          <t>RI</t>
        </is>
      </c>
      <c r="B44" s="28" t="n">
        <v>11641.47</v>
      </c>
      <c r="C44" s="26" t="n">
        <v>234.3691</v>
      </c>
    </row>
    <row r="45">
      <c r="A45" t="inlineStr">
        <is>
          <t>SC</t>
        </is>
      </c>
      <c r="B45" s="15" t="n">
        <v>12172</v>
      </c>
      <c r="C45" s="21" t="n">
        <v>201.3586</v>
      </c>
    </row>
    <row r="46">
      <c r="A46" s="25" t="inlineStr">
        <is>
          <t>SD</t>
        </is>
      </c>
      <c r="B46" s="28" t="n">
        <v>11262.97</v>
      </c>
      <c r="C46" s="26" t="n">
        <v>195.5642</v>
      </c>
    </row>
    <row r="47">
      <c r="A47" t="inlineStr">
        <is>
          <t>TN</t>
        </is>
      </c>
      <c r="B47" s="15" t="n">
        <v>12276.67</v>
      </c>
      <c r="C47" s="21" t="n">
        <v>219.7534</v>
      </c>
    </row>
    <row r="48">
      <c r="A48" s="25" t="inlineStr">
        <is>
          <t>TX</t>
        </is>
      </c>
      <c r="B48" s="28" t="n">
        <v>14055.66</v>
      </c>
      <c r="C48" s="26" t="n">
        <v>226.8863</v>
      </c>
    </row>
    <row r="49">
      <c r="A49" t="inlineStr">
        <is>
          <t>UT</t>
        </is>
      </c>
      <c r="B49" s="15" t="n">
        <v>12077.84</v>
      </c>
      <c r="C49" s="21" t="n">
        <v>171.1741</v>
      </c>
    </row>
    <row r="50">
      <c r="A50" s="25" t="inlineStr">
        <is>
          <t>VA</t>
        </is>
      </c>
      <c r="B50" s="28" t="n">
        <v>11442.78</v>
      </c>
      <c r="C50" s="26" t="n">
        <v>207.2358</v>
      </c>
    </row>
    <row r="51">
      <c r="A51" t="inlineStr">
        <is>
          <t>VT</t>
        </is>
      </c>
      <c r="B51" s="15" t="n">
        <v>9544.33</v>
      </c>
      <c r="C51" s="21" t="n">
        <v>177.907</v>
      </c>
    </row>
    <row r="52">
      <c r="A52" s="25" t="inlineStr">
        <is>
          <t>WA</t>
        </is>
      </c>
      <c r="B52" s="28" t="n">
        <v>10036.56</v>
      </c>
      <c r="C52" s="26" t="n">
        <v>174.1021</v>
      </c>
    </row>
    <row r="53">
      <c r="A53" t="inlineStr">
        <is>
          <t>WI</t>
        </is>
      </c>
      <c r="B53" s="15" t="n">
        <v>10799.32</v>
      </c>
      <c r="C53" s="21" t="n">
        <v>199.7893</v>
      </c>
    </row>
    <row r="54">
      <c r="A54" s="25" t="inlineStr">
        <is>
          <t>WV</t>
        </is>
      </c>
      <c r="B54" s="28" t="n">
        <v>11982.38</v>
      </c>
      <c r="C54" s="26" t="n">
        <v>254.3462</v>
      </c>
    </row>
    <row r="55">
      <c r="A55" t="inlineStr">
        <is>
          <t>WY</t>
        </is>
      </c>
      <c r="B55" s="15" t="n">
        <v>10805.27</v>
      </c>
      <c r="C55" s="21" t="n">
        <v>173.1043</v>
      </c>
    </row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5" max="5"/>
    <col width="11" customWidth="1" min="6" max="6"/>
    <col width="13" customWidth="1" min="7" max="7"/>
  </cols>
  <sheetData>
    <row r="1">
      <c r="A1" s="1" t="inlineStr">
        <is>
          <t>Q5: Does more spending buy better quality?</t>
        </is>
      </c>
    </row>
    <row r="2">
      <c r="A2" s="2" t="inlineStr">
        <is>
          <t>No. States that spend more have HIGHER 30-day readmission rates (r = 0.63). Utah spends mid-pack and readmits the fewest patients.</t>
        </is>
      </c>
    </row>
    <row r="3">
      <c r="A3" s="6" t="inlineStr">
        <is>
          <t>Back to Cover</t>
        </is>
      </c>
    </row>
    <row r="4">
      <c r="A4" s="16" t="inlineStr">
        <is>
          <t>Highest readmission rates</t>
        </is>
      </c>
      <c r="E4" s="16" t="inlineStr">
        <is>
          <t>Lowest readmission rates</t>
        </is>
      </c>
    </row>
    <row r="5">
      <c r="A5" s="7" t="inlineStr">
        <is>
          <t>State</t>
        </is>
      </c>
      <c r="B5" s="7" t="inlineStr">
        <is>
          <t>Readmit %</t>
        </is>
      </c>
      <c r="C5" s="7" t="inlineStr">
        <is>
          <t>Std $ per bene.</t>
        </is>
      </c>
      <c r="E5" s="7" t="inlineStr">
        <is>
          <t>State</t>
        </is>
      </c>
      <c r="F5" s="7" t="inlineStr">
        <is>
          <t>Readmit %</t>
        </is>
      </c>
      <c r="G5" s="7" t="inlineStr">
        <is>
          <t>Std $ per bene.</t>
        </is>
      </c>
    </row>
    <row r="6">
      <c r="A6" s="25" t="inlineStr">
        <is>
          <t>DC</t>
        </is>
      </c>
      <c r="B6" s="29" t="n">
        <v>0.2038</v>
      </c>
      <c r="C6" s="28" t="n">
        <v>12132.95</v>
      </c>
      <c r="E6" s="25" t="inlineStr">
        <is>
          <t>UT</t>
        </is>
      </c>
      <c r="F6" s="29" t="n">
        <v>0.1339</v>
      </c>
      <c r="G6" s="28" t="n">
        <v>12077.84</v>
      </c>
    </row>
    <row r="7">
      <c r="A7" t="inlineStr">
        <is>
          <t>WV</t>
        </is>
      </c>
      <c r="B7" s="23" t="n">
        <v>0.1993</v>
      </c>
      <c r="C7" s="15" t="n">
        <v>11982.38</v>
      </c>
      <c r="E7" t="inlineStr">
        <is>
          <t>ID</t>
        </is>
      </c>
      <c r="F7" s="23" t="n">
        <v>0.1356</v>
      </c>
      <c r="G7" s="15" t="n">
        <v>10593.66</v>
      </c>
    </row>
    <row r="8">
      <c r="A8" s="25" t="inlineStr">
        <is>
          <t>NV</t>
        </is>
      </c>
      <c r="B8" s="29" t="n">
        <v>0.1974</v>
      </c>
      <c r="C8" s="28" t="n">
        <v>13211.02</v>
      </c>
      <c r="E8" s="25" t="inlineStr">
        <is>
          <t>WY</t>
        </is>
      </c>
      <c r="F8" s="29" t="n">
        <v>0.1439</v>
      </c>
      <c r="G8" s="28" t="n">
        <v>10805.27</v>
      </c>
    </row>
    <row r="9">
      <c r="A9" t="inlineStr">
        <is>
          <t>MA</t>
        </is>
      </c>
      <c r="B9" s="23" t="n">
        <v>0.1954</v>
      </c>
      <c r="C9" s="15" t="n">
        <v>12293.47</v>
      </c>
      <c r="E9" t="inlineStr">
        <is>
          <t>MT</t>
        </is>
      </c>
      <c r="F9" s="23" t="n">
        <v>0.1506</v>
      </c>
      <c r="G9" s="15" t="n">
        <v>10030.76</v>
      </c>
    </row>
    <row r="10">
      <c r="A10" s="25" t="inlineStr">
        <is>
          <t>IL</t>
        </is>
      </c>
      <c r="B10" s="29" t="n">
        <v>0.1949</v>
      </c>
      <c r="C10" s="28" t="n">
        <v>13083.53</v>
      </c>
      <c r="E10" s="25" t="inlineStr">
        <is>
          <t>CO</t>
        </is>
      </c>
      <c r="F10" s="29" t="n">
        <v>0.1507</v>
      </c>
      <c r="G10" s="28" t="n">
        <v>11282.44</v>
      </c>
    </row>
    <row r="11">
      <c r="A11" t="inlineStr">
        <is>
          <t>MD</t>
        </is>
      </c>
      <c r="B11" s="23" t="n">
        <v>0.1941</v>
      </c>
      <c r="C11" s="15" t="n">
        <v>12367.27</v>
      </c>
      <c r="E11" t="inlineStr">
        <is>
          <t>HI</t>
        </is>
      </c>
      <c r="F11" s="23" t="n">
        <v>0.1532</v>
      </c>
      <c r="G11" s="15" t="n">
        <v>8621.85</v>
      </c>
    </row>
    <row r="12">
      <c r="A12" s="25" t="inlineStr">
        <is>
          <t>NJ</t>
        </is>
      </c>
      <c r="B12" s="29" t="n">
        <v>0.1927</v>
      </c>
      <c r="C12" s="28" t="n">
        <v>13489.59</v>
      </c>
      <c r="E12" s="25" t="inlineStr">
        <is>
          <t>IA</t>
        </is>
      </c>
      <c r="F12" s="29" t="n">
        <v>0.1542</v>
      </c>
      <c r="G12" s="28" t="n">
        <v>11256.57</v>
      </c>
    </row>
    <row r="13">
      <c r="A13" t="inlineStr">
        <is>
          <t>MI</t>
        </is>
      </c>
      <c r="B13" s="23" t="n">
        <v>0.1899</v>
      </c>
      <c r="C13" s="15" t="n">
        <v>12079.35</v>
      </c>
      <c r="E13" t="inlineStr">
        <is>
          <t>AK</t>
        </is>
      </c>
      <c r="F13" s="23" t="n">
        <v>0.1543</v>
      </c>
      <c r="G13" s="15" t="n">
        <v>9209.459999999999</v>
      </c>
    </row>
    <row r="14">
      <c r="A14" s="25" t="inlineStr">
        <is>
          <t>FL</t>
        </is>
      </c>
      <c r="B14" s="29" t="n">
        <v>0.1889</v>
      </c>
      <c r="C14" s="28" t="n">
        <v>14679.6</v>
      </c>
      <c r="E14" s="25" t="inlineStr">
        <is>
          <t>OR</t>
        </is>
      </c>
      <c r="F14" s="29" t="n">
        <v>0.1558</v>
      </c>
      <c r="G14" s="28" t="n">
        <v>9538.559999999999</v>
      </c>
    </row>
    <row r="15">
      <c r="A15" t="inlineStr">
        <is>
          <t>CA</t>
        </is>
      </c>
      <c r="B15" s="23" t="n">
        <v>0.1872</v>
      </c>
      <c r="C15" s="15" t="n">
        <v>13253.86</v>
      </c>
      <c r="E15" t="inlineStr">
        <is>
          <t>WA</t>
        </is>
      </c>
      <c r="F15" s="23" t="n">
        <v>0.157</v>
      </c>
      <c r="G15" s="15" t="n">
        <v>10036.56</v>
      </c>
    </row>
    <row r="33">
      <c r="A33" s="2" t="inlineStr">
        <is>
          <t>DC readmits 20.4% of discharged patients; Utah just 13.4%. Spending more does not buy fewer bounce-backs.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2026-10-15T07:46:55+00:00Z</dcterms:created>
  <dcterms:modified xmlns:dcterms="http://purl.org/dc/terms/" xmlns:xsi="http://www.w3.org/2001/XMLSchema-instance" xsi:type="dcterms:W3CDTF">2026-10-15T07:46:55+00:00Z</dcterms:modified>
</cp:coreProperties>
</file>